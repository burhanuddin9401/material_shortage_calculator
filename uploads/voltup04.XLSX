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rha\Downloads\"/>
    </mc:Choice>
  </mc:AlternateContent>
  <xr:revisionPtr revIDLastSave="0" documentId="13_ncr:1_{62229825-BE82-4550-9D56-D460E4EDBFF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<sst xmlns="http://schemas.openxmlformats.org/spreadsheetml/2006/main" count="52" uniqueCount="38">
  <si>
    <t>CAP CER SMD 1UF 10% 25V X7R 0805</t>
  </si>
  <si>
    <t>CGA4J3X7R1E105K125AB</t>
  </si>
  <si>
    <t>Build not possible</t>
  </si>
  <si>
    <t>CAP CER SMD 10UF 20% 25V X7R 1206</t>
  </si>
  <si>
    <t>TMK316AB7106MLHT</t>
  </si>
  <si>
    <t>RES SMD 39E 1% 1/8W 0805 100PPM</t>
  </si>
  <si>
    <t>CRCW080539R0FKEA</t>
  </si>
  <si>
    <t>IC SMD BUFF NON-INVERT 5.5V SOT25 PN-74L</t>
  </si>
  <si>
    <t>74LVC1G125QW5-7</t>
  </si>
  <si>
    <t>SCREW TREMINAL T/H M5 12PIN PN-7460408</t>
  </si>
  <si>
    <t>7460408</t>
  </si>
  <si>
    <t>RES SMD 22E 5% 2/3W 1206 200PPM</t>
  </si>
  <si>
    <t>ERJ-P08J220V</t>
  </si>
  <si>
    <t>CAP CER SMD 10000PF 10% 100V X7R 0603</t>
  </si>
  <si>
    <t>CGA3E2X7R2A103K080AA</t>
  </si>
  <si>
    <t>RES SMD 10E 1% 1/4W 0805 100PPM</t>
  </si>
  <si>
    <t>RK73H2ATTE10R0F</t>
  </si>
  <si>
    <t>MOSFET SMD N-CH 100V 300A 8HSOF PN-IAUT3</t>
  </si>
  <si>
    <t>IAUT300N10S5N015</t>
  </si>
  <si>
    <t>PCB BMS FR4 8L 1.6mm 35U MASK-GREEN LEG-</t>
  </si>
  <si>
    <t>IVUBMS3A0-R0</t>
  </si>
  <si>
    <t>CAP CER SMD 0.1UF 10% 100V X7R 0805</t>
  </si>
  <si>
    <t>C0805C104K1RACAUTO</t>
  </si>
  <si>
    <t>IC SMD RTC CLK/CALENDAR I2C PN-RA8900CEU</t>
  </si>
  <si>
    <t>RA8900CEUB</t>
  </si>
  <si>
    <t>CONN HEADER SMD 10POS 1.27MM PN-20021121</t>
  </si>
  <si>
    <t>20021121-00010T1LF</t>
  </si>
  <si>
    <t>CAP CER SMD 2.2UF 10% 100V X7R 1210</t>
  </si>
  <si>
    <t>HMK325B7225KMHP</t>
  </si>
  <si>
    <t>IND SMD FIXED 56UH 1.6A 145 MOHM PN-SRU1</t>
  </si>
  <si>
    <t>SRU1048A-560Y</t>
  </si>
  <si>
    <t>Material Description</t>
  </si>
  <si>
    <t>MPN</t>
  </si>
  <si>
    <t>Per Board Quantity</t>
  </si>
  <si>
    <t>Required Quantity</t>
  </si>
  <si>
    <t>Available Quantity</t>
  </si>
  <si>
    <t>Shortage Quantity</t>
  </si>
  <si>
    <t>Can build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</si>
</sst>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workbookViewId="0">
      <selection activeCell="B2" sqref="B2:B11"/>
    </sheetView>
  </sheetViews>
  <sheetFormatPr defaultRowHeight="12.75" x14ac:dyDescent="0.2"/>
  <cols>
    <col min="1" max="1" width="42" bestFit="1" customWidth="1"/>
    <col min="2" max="2" width="28" bestFit="1" customWidth="1"/>
    <col min="3" max="3" width="20" bestFit="1" customWidth="1"/>
    <col min="4" max="4" width="20" customWidth="1"/>
    <col min="5" max="5" width="19" bestFit="1" customWidth="1"/>
    <col min="6" max="6" width="20" bestFit="1" customWidth="1"/>
    <col min="7" max="7" width="19" bestFit="1" customWidth="1"/>
    <col min="8" max="8" width="20" bestFit="1" customWidth="1"/>
  </cols>
  <sheetData>
    <row r="1" spans="1:8" x14ac:dyDescent="0.2">
      <c r="A1" s="1" t="s">
        <v>31</v>
      </c>
      <c r="B1" s="1" t="s">
        <v>32</v>
      </c>
      <c r="C1" s="1" t="s">
        <v>33</v>
      </c>
      <c r="D1" s="1"/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">
      <c r="A2" t="s">
        <v>0</v>
      </c>
      <c r="B2" t="s">
        <v>1</v>
      </c>
      <c r="C2" s="3">
        <v>28000</v>
      </c>
      <c r="D2" s="3">
        <f>C2/1000</f>
        <v>28</v>
      </c>
      <c r="E2" s="3">
        <v>14560</v>
      </c>
      <c r="F2" s="3">
        <v>0</v>
      </c>
      <c r="G2" s="2">
        <v>-10036</v>
      </c>
      <c r="H2" t="s">
        <v>2</v>
      </c>
    </row>
    <row r="3" spans="1:8" x14ac:dyDescent="0.2">
      <c r="A3" t="s">
        <v>3</v>
      </c>
      <c r="B3" t="s">
        <v>4</v>
      </c>
      <c r="C3" s="3">
        <v>10000</v>
      </c>
      <c r="D3" s="3">
        <f t="shared" ref="D3:D16" si="0">C3/1000</f>
        <v>10</v>
      </c>
      <c r="E3" s="3">
        <v>5200</v>
      </c>
      <c r="F3" s="3">
        <v>0</v>
      </c>
      <c r="G3" s="2">
        <v>-2444</v>
      </c>
      <c r="H3" t="s">
        <v>2</v>
      </c>
    </row>
    <row r="4" spans="1:8" x14ac:dyDescent="0.2">
      <c r="A4" t="s">
        <v>5</v>
      </c>
      <c r="B4" t="s">
        <v>6</v>
      </c>
      <c r="C4" s="3">
        <v>4000</v>
      </c>
      <c r="D4" s="3">
        <f t="shared" si="0"/>
        <v>4</v>
      </c>
      <c r="E4" s="3">
        <v>2080</v>
      </c>
      <c r="F4" s="3">
        <v>0</v>
      </c>
      <c r="G4" s="2">
        <v>-2018</v>
      </c>
      <c r="H4" t="s">
        <v>2</v>
      </c>
    </row>
    <row r="5" spans="1:8" x14ac:dyDescent="0.2">
      <c r="A5" t="s">
        <v>7</v>
      </c>
      <c r="B5" t="s">
        <v>8</v>
      </c>
      <c r="C5" s="3">
        <v>6000</v>
      </c>
      <c r="D5" s="3">
        <f t="shared" si="0"/>
        <v>6</v>
      </c>
      <c r="E5" s="3">
        <v>3120</v>
      </c>
      <c r="F5" s="3">
        <v>1152</v>
      </c>
      <c r="G5" s="2">
        <v>-1968</v>
      </c>
      <c r="H5" t="s">
        <v>2</v>
      </c>
    </row>
    <row r="6" spans="1:8" x14ac:dyDescent="0.2">
      <c r="A6" t="s">
        <v>9</v>
      </c>
      <c r="B6" t="s">
        <v>10</v>
      </c>
      <c r="C6" s="3">
        <v>3000</v>
      </c>
      <c r="D6" s="3">
        <f t="shared" si="0"/>
        <v>3</v>
      </c>
      <c r="E6" s="3">
        <v>1560</v>
      </c>
      <c r="F6" s="3">
        <v>0</v>
      </c>
      <c r="G6" s="2">
        <v>-1560</v>
      </c>
      <c r="H6" t="s">
        <v>2</v>
      </c>
    </row>
    <row r="7" spans="1:8" x14ac:dyDescent="0.2">
      <c r="A7" t="s">
        <v>11</v>
      </c>
      <c r="B7" t="s">
        <v>12</v>
      </c>
      <c r="C7" s="3">
        <v>16000</v>
      </c>
      <c r="D7" s="3">
        <f t="shared" si="0"/>
        <v>16</v>
      </c>
      <c r="E7" s="3">
        <v>8320</v>
      </c>
      <c r="F7" s="3">
        <v>0</v>
      </c>
      <c r="G7" s="2">
        <v>-1304</v>
      </c>
      <c r="H7" t="s">
        <v>2</v>
      </c>
    </row>
    <row r="8" spans="1:8" x14ac:dyDescent="0.2">
      <c r="A8" t="s">
        <v>13</v>
      </c>
      <c r="B8" t="s">
        <v>14</v>
      </c>
      <c r="C8" s="3">
        <v>4000</v>
      </c>
      <c r="D8" s="3">
        <f t="shared" si="0"/>
        <v>4</v>
      </c>
      <c r="E8" s="3">
        <v>2080</v>
      </c>
      <c r="F8" s="3">
        <v>1044</v>
      </c>
      <c r="G8" s="2">
        <v>-1036</v>
      </c>
      <c r="H8" t="s">
        <v>2</v>
      </c>
    </row>
    <row r="9" spans="1:8" x14ac:dyDescent="0.2">
      <c r="A9" t="s">
        <v>15</v>
      </c>
      <c r="B9" t="s">
        <v>16</v>
      </c>
      <c r="C9" s="3">
        <v>6000</v>
      </c>
      <c r="D9" s="3">
        <f t="shared" si="0"/>
        <v>6</v>
      </c>
      <c r="E9" s="3">
        <v>3120</v>
      </c>
      <c r="F9" s="3">
        <v>0</v>
      </c>
      <c r="G9" s="2">
        <v>-864</v>
      </c>
      <c r="H9" t="s">
        <v>2</v>
      </c>
    </row>
    <row r="10" spans="1:8" x14ac:dyDescent="0.2">
      <c r="A10" t="s">
        <v>17</v>
      </c>
      <c r="B10" t="s">
        <v>18</v>
      </c>
      <c r="C10" s="3">
        <v>6000</v>
      </c>
      <c r="D10" s="3">
        <f t="shared" si="0"/>
        <v>6</v>
      </c>
      <c r="E10" s="3">
        <v>3120</v>
      </c>
      <c r="F10" s="3">
        <v>2510</v>
      </c>
      <c r="G10" s="2">
        <v>-610</v>
      </c>
      <c r="H10" t="s">
        <v>2</v>
      </c>
    </row>
    <row r="11" spans="1:8" x14ac:dyDescent="0.2">
      <c r="A11" t="s">
        <v>19</v>
      </c>
      <c r="B11" t="s">
        <v>20</v>
      </c>
      <c r="C11" s="3">
        <v>1000</v>
      </c>
      <c r="D11" s="3">
        <f t="shared" si="0"/>
        <v>1</v>
      </c>
      <c r="E11" s="3">
        <v>520</v>
      </c>
      <c r="F11" s="3">
        <v>0</v>
      </c>
      <c r="G11" s="2">
        <v>-520</v>
      </c>
      <c r="H11" t="s">
        <v>2</v>
      </c>
    </row>
    <row r="12" spans="1:8" x14ac:dyDescent="0.2">
      <c r="A12" t="s">
        <v>21</v>
      </c>
      <c r="B12" t="s">
        <v>22</v>
      </c>
      <c r="C12" s="3">
        <v>2000</v>
      </c>
      <c r="D12" s="3">
        <f t="shared" si="0"/>
        <v>2</v>
      </c>
      <c r="E12" s="3">
        <v>1040</v>
      </c>
      <c r="F12" s="3">
        <v>541</v>
      </c>
      <c r="G12" s="2">
        <v>-499</v>
      </c>
      <c r="H12" t="s">
        <v>2</v>
      </c>
    </row>
    <row r="13" spans="1:8" x14ac:dyDescent="0.2">
      <c r="A13" t="s">
        <v>23</v>
      </c>
      <c r="B13" t="s">
        <v>24</v>
      </c>
      <c r="C13" s="3">
        <v>1000</v>
      </c>
      <c r="D13" s="3">
        <f t="shared" si="0"/>
        <v>1</v>
      </c>
      <c r="E13" s="3">
        <v>520</v>
      </c>
      <c r="F13" s="3">
        <v>275</v>
      </c>
      <c r="G13" s="2">
        <v>-245</v>
      </c>
      <c r="H13" t="s">
        <v>2</v>
      </c>
    </row>
    <row r="14" spans="1:8" x14ac:dyDescent="0.2">
      <c r="A14" t="s">
        <v>25</v>
      </c>
      <c r="B14" t="s">
        <v>26</v>
      </c>
      <c r="C14" s="3">
        <v>1000</v>
      </c>
      <c r="D14" s="3">
        <f t="shared" si="0"/>
        <v>1</v>
      </c>
      <c r="E14" s="3">
        <v>520</v>
      </c>
      <c r="F14" s="3">
        <v>0</v>
      </c>
      <c r="G14" s="2">
        <v>-128</v>
      </c>
      <c r="H14" t="s">
        <v>2</v>
      </c>
    </row>
    <row r="15" spans="1:8" x14ac:dyDescent="0.2">
      <c r="A15" t="s">
        <v>27</v>
      </c>
      <c r="B15" t="s">
        <v>28</v>
      </c>
      <c r="C15" s="3">
        <v>4000</v>
      </c>
      <c r="D15" s="3">
        <f t="shared" si="0"/>
        <v>4</v>
      </c>
      <c r="E15" s="3">
        <v>2080</v>
      </c>
      <c r="F15" s="3">
        <v>2021</v>
      </c>
      <c r="G15" s="2">
        <v>-59</v>
      </c>
      <c r="H15" t="s">
        <v>2</v>
      </c>
    </row>
    <row r="16" spans="1:8" x14ac:dyDescent="0.2">
      <c r="A16" t="s">
        <v>29</v>
      </c>
      <c r="B16" t="s">
        <v>30</v>
      </c>
      <c r="C16" s="3">
        <v>1000</v>
      </c>
      <c r="D16" s="3">
        <f t="shared" si="0"/>
        <v>1</v>
      </c>
      <c r="E16" s="3">
        <v>520</v>
      </c>
      <c r="F16" s="3">
        <v>466</v>
      </c>
      <c r="G16" s="2">
        <v>-54</v>
      </c>
      <c r="H16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Burhanuddin Udaipurwala</cp:lastModifiedBy>
  <cp:revision>1</cp:revision>
  <dcterms:modified xsi:type="dcterms:W3CDTF">2026-03-27T13:00:21Z</dcterms:modified>
  <cp:category/>
</cp:coreProperties>
</file>