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f+WKePXQRNHlA36YKDTW6eQeW7NjelpGI7TxcQqCgGc="/>
    </ext>
  </extLst>
</workbook>
</file>

<file path=xl/sharedStrings.xml><?xml version="1.0" encoding="utf-8"?>
<sst xmlns="http://schemas.openxmlformats.org/spreadsheetml/2006/main" count="1009" uniqueCount="557">
  <si>
    <t>Manufacturer</t>
  </si>
  <si>
    <t>MPN</t>
  </si>
  <si>
    <t>Quantity</t>
  </si>
  <si>
    <t>Alternate Manufacturer 1</t>
  </si>
  <si>
    <t>Alternate MPN 1</t>
  </si>
  <si>
    <t>Alternate Manufacturer 2</t>
  </si>
  <si>
    <t>Alternate MPN 2</t>
  </si>
  <si>
    <t>Alternate Manufacturer 3</t>
  </si>
  <si>
    <t>Alternate MPN 3</t>
  </si>
  <si>
    <t>TDK</t>
  </si>
  <si>
    <t>CGA2B3X7R1E104K050BB</t>
  </si>
  <si>
    <t>CGA3E3X7R1E334K080AB</t>
  </si>
  <si>
    <t>KEMET</t>
  </si>
  <si>
    <t>C0805C104K1RACAUTO</t>
  </si>
  <si>
    <t>C0805C224K1RECAUTO</t>
  </si>
  <si>
    <t>CGA4J3X7R1E105K125AB</t>
  </si>
  <si>
    <t>C0603C224K4RECAUTO</t>
  </si>
  <si>
    <t>Murata</t>
  </si>
  <si>
    <t>GCM21A5C2E102JX01D</t>
  </si>
  <si>
    <t>CGA3E1X7R1E105K080AC</t>
  </si>
  <si>
    <t>GCM1555C1H221JA16D</t>
  </si>
  <si>
    <t>C0603C472K4RECAUTO</t>
  </si>
  <si>
    <t>C0603C103K4RECAUTO</t>
  </si>
  <si>
    <t>CGA3E2X7R2A103K080AA</t>
  </si>
  <si>
    <t>Taiyo Yuden</t>
  </si>
  <si>
    <t>TMK316AB7106MLHT</t>
  </si>
  <si>
    <t>Yageo</t>
  </si>
  <si>
    <t>AC0402JRNPO9BN470</t>
  </si>
  <si>
    <t>GCM1555C1H120JA16J</t>
  </si>
  <si>
    <t>UMK105B7222KVHF</t>
  </si>
  <si>
    <t>HMK325B7225KMHP</t>
  </si>
  <si>
    <t>Molex</t>
  </si>
  <si>
    <t>5051538000</t>
  </si>
  <si>
    <t>5025790000</t>
  </si>
  <si>
    <t>Nexperia</t>
  </si>
  <si>
    <t>BZT52H-B16-Q</t>
  </si>
  <si>
    <t>Vishay</t>
  </si>
  <si>
    <t>V35PWM15HM3/I</t>
  </si>
  <si>
    <t>PMEG10010ELR-Q</t>
  </si>
  <si>
    <t>BZX84-B5V6-Q</t>
  </si>
  <si>
    <t>PTVS64VS1UR-Q</t>
  </si>
  <si>
    <t>PTVS13VS1UR-Q</t>
  </si>
  <si>
    <t>PESD5Z3.3,115</t>
  </si>
  <si>
    <t>PMEG10020ELR-Q</t>
  </si>
  <si>
    <t>PMBD914-Q</t>
  </si>
  <si>
    <t>BZX84-B4V3-Q</t>
  </si>
  <si>
    <t>LITTELFUSE</t>
  </si>
  <si>
    <t>ITV9550L5060MR</t>
  </si>
  <si>
    <t>Dexerials</t>
  </si>
  <si>
    <t>SFK-5060</t>
  </si>
  <si>
    <t>Wurth Elektronik</t>
  </si>
  <si>
    <t>7460408</t>
  </si>
  <si>
    <t>5023521200</t>
  </si>
  <si>
    <t>5031482270</t>
  </si>
  <si>
    <t>502352-1000</t>
  </si>
  <si>
    <t>Bourns</t>
  </si>
  <si>
    <t>SRU1048A-560Y</t>
  </si>
  <si>
    <t>KLZ2012MHR4R7WTD25</t>
  </si>
  <si>
    <t>SRP2010DPA-4R7M</t>
  </si>
  <si>
    <t>Inolux</t>
  </si>
  <si>
    <t>IN-S63AT5A</t>
  </si>
  <si>
    <t>Murata Electronics</t>
  </si>
  <si>
    <t>PKLCS1212E40A1-R1</t>
  </si>
  <si>
    <t>Eaton</t>
  </si>
  <si>
    <t>NRSE104F3950B1F</t>
  </si>
  <si>
    <t>Samtec</t>
  </si>
  <si>
    <t>20021121-00010T1LF</t>
  </si>
  <si>
    <t>BX48-60</t>
  </si>
  <si>
    <t>R7.12</t>
  </si>
  <si>
    <t>Infineon Technologies</t>
  </si>
  <si>
    <t>BSS123NH6327XTSA1</t>
  </si>
  <si>
    <t>BSR316PH6327XTSA1</t>
  </si>
  <si>
    <t>BAT54-05E6327</t>
  </si>
  <si>
    <t>IAUT300N08S5N012</t>
  </si>
  <si>
    <t>Alpha &amp; Omega Semiconductor Inc.</t>
  </si>
  <si>
    <t>AOTL66810</t>
  </si>
  <si>
    <t>IPD70N12S3-11</t>
  </si>
  <si>
    <t>Diodes Incorporated</t>
  </si>
  <si>
    <t>DMT10H025SK3-13</t>
  </si>
  <si>
    <t>KOA Speer</t>
  </si>
  <si>
    <t>RK73H2ATTD4R70F</t>
  </si>
  <si>
    <t>Panasonic</t>
  </si>
  <si>
    <t>ERJ-P08J220V</t>
  </si>
  <si>
    <t>RK73H2ATTE10R0F</t>
  </si>
  <si>
    <t>Stackpole Electronics</t>
  </si>
  <si>
    <t>RMCF0402FT10K0</t>
  </si>
  <si>
    <t>RMCF0402FT1K00</t>
  </si>
  <si>
    <t>RMCF0402FT100R</t>
  </si>
  <si>
    <t>CRCW080539R0FKEA</t>
  </si>
  <si>
    <t>RMCF0805FT150K</t>
  </si>
  <si>
    <t>Vishay Dale</t>
  </si>
  <si>
    <t>CRCW0805150KFKEA</t>
  </si>
  <si>
    <t>RMCF0402FT47K0</t>
  </si>
  <si>
    <t>RMCF0402FT2K20</t>
  </si>
  <si>
    <t>RMCF0402FT49R9</t>
  </si>
  <si>
    <t>RMCF0402ZT0R00</t>
  </si>
  <si>
    <t>RMCF0402FT100K</t>
  </si>
  <si>
    <t>YAGEO</t>
  </si>
  <si>
    <t>AC0402FR-07100KL</t>
  </si>
  <si>
    <t>RMCF0402FT1M00</t>
  </si>
  <si>
    <t>AC0402FR-071ML</t>
  </si>
  <si>
    <t>RMCF0603FT100K</t>
  </si>
  <si>
    <t>AC0603FR-07100KL</t>
  </si>
  <si>
    <t>CSS2H-3920R-L200F</t>
  </si>
  <si>
    <t>Stackpole</t>
  </si>
  <si>
    <t>RMCF0603FT910K</t>
  </si>
  <si>
    <t>RMCF0402FT4K70</t>
  </si>
  <si>
    <t>ERJ-PA3J220V</t>
  </si>
  <si>
    <t>Rohm</t>
  </si>
  <si>
    <t>LTR18EZPF60R4</t>
  </si>
  <si>
    <t>ERJ-P06J102V</t>
  </si>
  <si>
    <t>RMCF0402FT180K</t>
  </si>
  <si>
    <t>RMCF0402FT33K0</t>
  </si>
  <si>
    <t>AC0402FR-0733KL</t>
  </si>
  <si>
    <t>RMCF0805FT470K</t>
  </si>
  <si>
    <t>RMCF0402FT22K0</t>
  </si>
  <si>
    <t>RMCF0402FT220K</t>
  </si>
  <si>
    <t>RL0603FR-070R47L</t>
  </si>
  <si>
    <t>RMCF0402FT4R70</t>
  </si>
  <si>
    <t>TE Connectivity CGS</t>
  </si>
  <si>
    <t>35222R2JT</t>
  </si>
  <si>
    <t>NTCG103JF103FT1S</t>
  </si>
  <si>
    <t>5051511000</t>
  </si>
  <si>
    <t>5031492200</t>
  </si>
  <si>
    <t>5051511200</t>
  </si>
  <si>
    <t>TLE9012DQU</t>
  </si>
  <si>
    <t>Texas Instruments</t>
  </si>
  <si>
    <t>TPS48111LQDGXRQ1</t>
  </si>
  <si>
    <t>TCAN1042HVDRQ1</t>
  </si>
  <si>
    <t>TLV9032QDDFRQ1</t>
  </si>
  <si>
    <t>INA296A3IDDFR</t>
  </si>
  <si>
    <t>Diodes</t>
  </si>
  <si>
    <t>74LVC1G125QW5-7</t>
  </si>
  <si>
    <t>TLV9061SQDBVRQ1</t>
  </si>
  <si>
    <t>Epson</t>
  </si>
  <si>
    <t>RA8900CEUB</t>
  </si>
  <si>
    <t>TLV7031QDBVRQ1</t>
  </si>
  <si>
    <t>Cypress Semiconductor</t>
  </si>
  <si>
    <t>S25FL064LABMFM010</t>
  </si>
  <si>
    <t>SAK-TC212L-8F133F AC</t>
  </si>
  <si>
    <t>LM5164QDDARQ1</t>
  </si>
  <si>
    <t>74LVC2G240DP-Q100H</t>
  </si>
  <si>
    <t>TLF35584QVVS2</t>
  </si>
  <si>
    <t>Abracon LLC</t>
  </si>
  <si>
    <t>ABM8GAIG-20.000MHZ-8-7Z-T3</t>
  </si>
  <si>
    <t>NDK</t>
  </si>
  <si>
    <t>NX3225SA-20.000M-STD-CRS-2</t>
  </si>
  <si>
    <t xml:space="preserve"> </t>
  </si>
  <si>
    <t>Designator</t>
  </si>
  <si>
    <t>Comment</t>
  </si>
  <si>
    <t>Description</t>
  </si>
  <si>
    <t>Footprint</t>
  </si>
  <si>
    <t>Manufacturer Part Number</t>
  </si>
  <si>
    <t>Manufacturer (Alternate)</t>
  </si>
  <si>
    <t>Manufacturer Part Number (Alternate)</t>
  </si>
  <si>
    <t>Layer</t>
  </si>
  <si>
    <t>Alternate Manufacturer Part Number 2</t>
  </si>
  <si>
    <t>Alternate Manufacturer Part Number 3</t>
  </si>
  <si>
    <t>C1, C2, C11, C12, C17, C18, C19, C21, C29, C30, C35, C36, C41, C42, C47, C48, C53, C54, C59, C60</t>
  </si>
  <si>
    <t>AQ: 330nF 25V X7R 0603 10%</t>
  </si>
  <si>
    <t>Cap Ceramic 0.33uF 25V X7R 10% SMD 0603 125°C Punched Paper T/R</t>
  </si>
  <si>
    <t>CAPC1608X08N</t>
  </si>
  <si>
    <t>Bottom, Top</t>
  </si>
  <si>
    <t>Samsung</t>
  </si>
  <si>
    <t>CL10B334KA8VPNC</t>
  </si>
  <si>
    <t>C3, C4</t>
  </si>
  <si>
    <t>AQ: 0.1UF 100V X7R 10% 0805</t>
  </si>
  <si>
    <t>Cap Ceramic 0.1uF 100V X7R 10% Pad SMD 0805 125C Automotive T/R</t>
  </si>
  <si>
    <t>CAPC2012X10N</t>
  </si>
  <si>
    <t>Top</t>
  </si>
  <si>
    <t>GCJ21BR72A104KA01L</t>
  </si>
  <si>
    <t>CL21B104KCFWPNE</t>
  </si>
  <si>
    <t>C5, C6, C23, C24, C115, C128, C132, C162, C173</t>
  </si>
  <si>
    <t>AQ: 0.22uF 100V X7R 10% 0805 ESD</t>
  </si>
  <si>
    <t>CAP CER 0805 220NF 100V X7R ESD</t>
  </si>
  <si>
    <t>Bottom, Top, None</t>
  </si>
  <si>
    <t>C7, C8, C13, C14, C25, C26, C31, C32, C37, C38, C43, C44, C49, C50, C55, C56, C77, C78, C93, C101, C136, C139, C154, C155, C163, C164, C168</t>
  </si>
  <si>
    <t>AQ: 1UF 25V X7R 0805 10%</t>
  </si>
  <si>
    <t>Multilayer Ceramic Capacitors MLCC - SMD/SMT CGA 0805 25V 1uF X7R 10% AEC-Q200</t>
  </si>
  <si>
    <t>Top, Bottom</t>
  </si>
  <si>
    <t>CL21B105KAFVPNE</t>
  </si>
  <si>
    <t>C9, C10, C15, C16, C27, C28, C33, C34, C39, C40, C45, C46, C51, C52, C57, C58, C138, C212</t>
  </si>
  <si>
    <t>AQ: 0.22uF 16V X7R 10% 0603 ESD</t>
  </si>
  <si>
    <t>Cap Ceramic 0.22uF 16V X7R 10% Pad SMD 0603 125C Automotive T/R</t>
  </si>
  <si>
    <t>C0603C224K3RECAUTO</t>
  </si>
  <si>
    <t>C20, C22, C63, C64, C65, C75, C76, C79, C86, C87, C91, C92, C94, C97, C98, C99, C104, C106, C107, C108, C111, C112, C113, C114, C117, C119, C120, C122, C125, C126, C127, C129, C130, C131, C133, C135, C140, C141, C143, C144, C145, C147, C148, C149, C150, C152, C156, C157, C158, C159, C161, C165, C166, C167, C169, C170, C174, C188, C191, C195, C202, C203, C204, C207, C209</t>
  </si>
  <si>
    <t>AQ: 0.1UF 25V X7R 10% 0402</t>
  </si>
  <si>
    <t>TDK - CGA2B3X7R1E104K050BB - KONDENSATOR, 0.1µF, 25V, 10%, X7R, 0402</t>
  </si>
  <si>
    <t>CAPC1005X03N</t>
  </si>
  <si>
    <t>CL05B104KA54PNC</t>
  </si>
  <si>
    <t>C61, C62, C73, C74, C105, C109, C137</t>
  </si>
  <si>
    <t>AQ: 1nF 100V C0G 0805 5%</t>
  </si>
  <si>
    <t>Cap Ceramic Multilayer 0.001uF 250VDC 5% SMD Paper T/R</t>
  </si>
  <si>
    <t>CGA4F3C0G2E102J085AA</t>
  </si>
  <si>
    <t>C66, C146, C151, C199</t>
  </si>
  <si>
    <t>AQ: 1UF 25V X7R 0603 10%</t>
  </si>
  <si>
    <t>CAP CER 1UF 25V X7R 0603</t>
  </si>
  <si>
    <t>Bottom</t>
  </si>
  <si>
    <t>CL10B105KA8VPNC</t>
  </si>
  <si>
    <t>C67, C68, C80, C81</t>
  </si>
  <si>
    <t>AQ: 220pF 50V C0G 0402 5%</t>
  </si>
  <si>
    <t>Cap Ceramic 220pF 50V C0G 5% SMD 0402 125C Automotive T/R</t>
  </si>
  <si>
    <t>CL05C221JB51PNC</t>
  </si>
  <si>
    <t>C69, C71, C82, C84, C88</t>
  </si>
  <si>
    <t>AQ: 4.7NF 16V X7R 10% 0603 ESD</t>
  </si>
  <si>
    <t>Cap Ceramic 0.0047uF 16V X7R 10% SMD 0603 125°C Paper T/R</t>
  </si>
  <si>
    <t>C70, C72, C83, C85, C89, C190</t>
  </si>
  <si>
    <t>AQ: 10NF 16V X7R 10% 0603</t>
  </si>
  <si>
    <t>Cap Ceramic 0.01uF 16V X7R 10% Pad SMD 0603 125C Automotive T/R</t>
  </si>
  <si>
    <t>C100, C110, C116, C123</t>
  </si>
  <si>
    <t>AQ: 0.01UF 100V X7R 0603</t>
  </si>
  <si>
    <t>TDK - CGA3E2X7R2A103K080AA - SMD Multilayer Ceramic Capacitor, 10000 pF, 100 V, 0603 [1608 Metric], ± 10%, X7R, CGA Series</t>
  </si>
  <si>
    <t>CL10B103KC8WPNC</t>
  </si>
  <si>
    <t>C118, C180, C181, C189, C193, C194, C196, C197, C198, C200</t>
  </si>
  <si>
    <t>AQ: 10UF 25V X7R 20% 1206</t>
  </si>
  <si>
    <t>Multilayer Ceramic Capacitors MLCC -SMD/SMT 10uF 25V X7R +/-20% 1206 AEC-Q200</t>
  </si>
  <si>
    <t>CAPC3216X18N</t>
  </si>
  <si>
    <t>Samsung Electro-Mech</t>
  </si>
  <si>
    <t>CL31B106KAHVPNE</t>
  </si>
  <si>
    <t>C153, C184</t>
  </si>
  <si>
    <t>AQ: 47pF 50V C0G 5% 0402</t>
  </si>
  <si>
    <t>AC Series 0402 47 pF 50 V ±5% NP0/C0G Multilayer Ceramic Capacitor</t>
  </si>
  <si>
    <t>None, Top</t>
  </si>
  <si>
    <t>GCM1555C1H470JA16D</t>
  </si>
  <si>
    <t>CL05C470JB51PNC</t>
  </si>
  <si>
    <t>C171, C172</t>
  </si>
  <si>
    <t>AQ: 12PF 50V C0G ±0.5PF 0402</t>
  </si>
  <si>
    <t>0402 12pF 50V ±0.5 pF Tolerance C0G SMT Multilayer Ceramic Capacitor</t>
  </si>
  <si>
    <t>CL05C120JB51PNC</t>
  </si>
  <si>
    <t>C176, C177</t>
  </si>
  <si>
    <t>AQ: 2.2nF 50V X7R 10% 0402</t>
  </si>
  <si>
    <t>MLCC 0.0022uF 50V X7R 10% Pad SMD 0402 125C Automotive T/R</t>
  </si>
  <si>
    <t> GCM155R71H222KA37D</t>
  </si>
  <si>
    <t>C183, C185, C187, C210</t>
  </si>
  <si>
    <t>AQ: 2.2UF 100V X7R 10% 1210</t>
  </si>
  <si>
    <t>Multilayer Ceramic Capacitors MLCC -SMD/SMT 2.2uF 100V X7R +/-10% 1210 AEC-Q200</t>
  </si>
  <si>
    <t>CAPC3325X06N</t>
  </si>
  <si>
    <t> GCJ32DR72A225KA01L</t>
  </si>
  <si>
    <t>COATING1</t>
  </si>
  <si>
    <t>Conformal Coating</t>
  </si>
  <si>
    <t>HumiSeal® 1A33 Urethane Conformal Coating</t>
  </si>
  <si>
    <t>Chase Corp</t>
  </si>
  <si>
    <t>HumiSeal® 1A33</t>
  </si>
  <si>
    <t>None</t>
  </si>
  <si>
    <t>CRMP1, CRMP4, CRMP5, CRMP8, CRMP9, CRMP12, CRMP13, CRMP16, CRMP17, CRMP20, CRMP21, CRMP24, CRMP25, CRMP28, CRMP29, CRMP32, CRMP33, CRMP36, CRMP37, CRMP40, CRMP43, CRMP44</t>
  </si>
  <si>
    <t>CRIMP: 5051538000 MLX-DURA</t>
  </si>
  <si>
    <t>DuraClik TPA Wire-to-Board Crimp Receptacle Terminal, Female, Tin Plating</t>
  </si>
  <si>
    <t>CRMP2, CRMP3, CRMP6, CRMP7, CRMP10, CRMP11, CRMP14, CRMP15, CRMP18, CRMP19, CRMP22, CRMP23, CRMP26, CRMP27, CRMP30, CRMP31, CRMP34, CRMP35, CRMP38, CRMP39, CRMP41, CRMP42</t>
  </si>
  <si>
    <t>CRIMP: 5025790000 MLX-CLK</t>
  </si>
  <si>
    <t>CONN 24-28AWG CRIMP TIN</t>
  </si>
  <si>
    <t>D1, D13</t>
  </si>
  <si>
    <t>AQ: ZD_16V 0.5W SOD123</t>
  </si>
  <si>
    <t>DIODE ZENER 16V 500MW SOD123</t>
  </si>
  <si>
    <t>SODFL350X110-2N</t>
  </si>
  <si>
    <t>D2_1, D3_1</t>
  </si>
  <si>
    <t>AQ: SD_150V 35A TO-252AE</t>
  </si>
  <si>
    <t>Diode Schottky 150V 35A Slimdpak</t>
  </si>
  <si>
    <t>DPAK229P900X140-3M</t>
  </si>
  <si>
    <t>D6, D12, D18</t>
  </si>
  <si>
    <t>AQ: SD_100V 1A SOD-123W</t>
  </si>
  <si>
    <t>DIODE SCHOTTKY 100V 1A SOD123</t>
  </si>
  <si>
    <t>D7, D14, D15</t>
  </si>
  <si>
    <t>AQ: ZD_5V6 0.25W SOT23</t>
  </si>
  <si>
    <t>DIODE ZENER 5.6V 250MW SOT23</t>
  </si>
  <si>
    <t>SOT95P250X112-3N</t>
  </si>
  <si>
    <t>D8, D17</t>
  </si>
  <si>
    <t>AQ: TVS_64V 400W SOD-123W</t>
  </si>
  <si>
    <t>TVS DIODE 64VWM 103VC SOD123W</t>
  </si>
  <si>
    <t>D9, D11</t>
  </si>
  <si>
    <t>AQ: TVS_13V 400W SOD-123W</t>
  </si>
  <si>
    <t>TVS DIODE 13VWM 21.5VC SOD123W</t>
  </si>
  <si>
    <t>D16</t>
  </si>
  <si>
    <t>AQ: SD_100V 2A SOD-123W</t>
  </si>
  <si>
    <t>DIODE SCHOTTKY 100V 2A SOD123W</t>
  </si>
  <si>
    <t>D19, D22, D23, D24, D25, D26</t>
  </si>
  <si>
    <t>AQ: D_100V 0.215A SOT-23</t>
  </si>
  <si>
    <t>PMBD914-Q - High-speed switching diode</t>
  </si>
  <si>
    <t>D20, D21</t>
  </si>
  <si>
    <t>AQ: ZD_4V3 0.25W SOD123</t>
  </si>
  <si>
    <t>DIODE ZENER 4.3V 250MW SOT23</t>
  </si>
  <si>
    <t>F1, F2</t>
  </si>
  <si>
    <t>F: 80V 60A LittleFuse</t>
  </si>
  <si>
    <t>Chip type surface mountable device that can protect against both overcurrent and overcharging,60A AC 80 V DC Fuse Board Mount Surface Mount.</t>
  </si>
  <si>
    <t>J1, J2, J8</t>
  </si>
  <si>
    <t>CON PWR: 7460408</t>
  </si>
  <si>
    <t>WP-BUCF REDCUBE PRESS-FIT with internal thread, circumference, L9W9H6mm, M5 x 6mm, 175A</t>
  </si>
  <si>
    <t>7460408_chemical surface</t>
  </si>
  <si>
    <t>J3</t>
  </si>
  <si>
    <t>CONN12: 5023521200</t>
  </si>
  <si>
    <t>DuraClik Wire-to-Board Header, Single Row, Right-Angle, 12 Circuits, Tin (Sn) Plating, Natural</t>
  </si>
  <si>
    <t>J4</t>
  </si>
  <si>
    <t>CONN 22: 5031482270</t>
  </si>
  <si>
    <t>Clik-Mate1.5 Drra Smt Sn Hbp Etp 22P Nat |Molex 503148-2270</t>
  </si>
  <si>
    <t>CONN 22: 2132282210</t>
  </si>
  <si>
    <t>J5</t>
  </si>
  <si>
    <t>CONN 10: 5023521000</t>
  </si>
  <si>
    <t>DuraClik Wire-to-Board Header, Single Row, Right-Angle, 10 Circuits, Tin (Sn) Plating, Natural</t>
  </si>
  <si>
    <t>FP-5023521010-MFG</t>
  </si>
  <si>
    <t>L1</t>
  </si>
  <si>
    <t>AQ: 56UH 1.4A 0.11R</t>
  </si>
  <si>
    <t>Ind Power Shielded Wirewound 56uH 30% 100KHz 26Q-Factor Ferrite 1.6A T/R</t>
  </si>
  <si>
    <t>SRU_IND_BOURNS</t>
  </si>
  <si>
    <t>L2</t>
  </si>
  <si>
    <t>AQ: 4.7UH 0.5A 0.39R</t>
  </si>
  <si>
    <t>FIXED IND 4.7UH 500MA 390MOHM SM</t>
  </si>
  <si>
    <t>INDC2012X08M</t>
  </si>
  <si>
    <t>L3</t>
  </si>
  <si>
    <t>AQ: 4.7UH 1.1A 0.36R</t>
  </si>
  <si>
    <t>Ind, 2x1.6x1mm, 4.7uH 20%, 1.1A, shd</t>
  </si>
  <si>
    <t>INDC2116X10N</t>
  </si>
  <si>
    <t> DFE201610E-4R7M=P2</t>
  </si>
  <si>
    <t>LD1, LD2, LD3, LD5</t>
  </si>
  <si>
    <t>AQ: LD_RED 2mA 0603</t>
  </si>
  <si>
    <t>LED Uni-Color Amber 609nm Automotive 2-Pin Chip 0603(1608Metric) T/R</t>
  </si>
  <si>
    <t>0603 LED</t>
  </si>
  <si>
    <t>LS1</t>
  </si>
  <si>
    <t>BUZ: PKLCS1212E40A1-R1</t>
  </si>
  <si>
    <t>Audio Sounder Piezo 25Vp-p 3Vp-p 75dBA Solder Pad Surface Mount T/R Automotive</t>
  </si>
  <si>
    <t>NTC1, NTC2, NTC3, NTC4, NTC5</t>
  </si>
  <si>
    <t>NTC: NRSE104F3950B1F</t>
  </si>
  <si>
    <t>Thermistor, Ntc, 3950K, 10 Kohm Rohs Compliant: Yes |Eaton Bussmann NRSE104F3950B1F</t>
  </si>
  <si>
    <t>P1</t>
  </si>
  <si>
    <t>Male Header, Pitch 1.27 mm, 2 x 5 Position, Height 6.25 mm</t>
  </si>
  <si>
    <t>SMTC-FTSH-105-01-L-DV-K_V</t>
  </si>
  <si>
    <t>Metz Connect USA</t>
  </si>
  <si>
    <t>PM20B05VBDN</t>
  </si>
  <si>
    <t>PCB1</t>
  </si>
  <si>
    <t>PCB</t>
  </si>
  <si>
    <t>Q1, Q3, Q4, Q6, Q11, Q12, Q13, Q16, Q17, Q22, Q31, Q34</t>
  </si>
  <si>
    <t>AQ: N: BSS123NH6327XTSA1</t>
  </si>
  <si>
    <t>MOSFET N-Ch 100V 190mA SOT-23-3</t>
  </si>
  <si>
    <t>Q2, Q15, Q30</t>
  </si>
  <si>
    <t>AQ: P: BSR316PH6327XTSA1</t>
  </si>
  <si>
    <t>MOSFET SMALL SIGNAL+P-CH</t>
  </si>
  <si>
    <t>Q5, Q10, Q25, Q26, Q27, Q32</t>
  </si>
  <si>
    <t>AQ: D_30V 0.2A</t>
  </si>
  <si>
    <t>Schottky Diodes &amp; Rectifiers 30V 0.2A</t>
  </si>
  <si>
    <t>Q7_1, Q7_2, Q7_3, Q8_1, Q8_2, Q8_3</t>
  </si>
  <si>
    <t>AQ N: IAUT300N10S5N015</t>
  </si>
  <si>
    <t>OptiMOS-5 Power Transistor MOSFET N-Channel 100V 300A 8-Pin PG-HSOF-1 T/R</t>
  </si>
  <si>
    <t>INF-PG-HSOF-8-1-0-V</t>
  </si>
  <si>
    <t>IAUT300N10S5N015</t>
  </si>
  <si>
    <t>Q23, Q24</t>
  </si>
  <si>
    <t>AQ N: IPD70N12S3-11</t>
  </si>
  <si>
    <t>120V, N-Ch, 11.1 mΩ max, Automotive MOSFET, DPAK, OptiMOS™-T, PG-TO252-3, RoHS</t>
  </si>
  <si>
    <t>TO228P998X235-3N-3-V</t>
  </si>
  <si>
    <t>R1, R2, R3, R4, R7, R8, R11, R13, R19, R20, R23, R24, R27, R28, R33, R34, R37, R38, R41, R42, R281, R282</t>
  </si>
  <si>
    <t>AQ: 4R7 1/4W 1% 0805</t>
  </si>
  <si>
    <t>Res Thick Film 0805 4.7 Ohm 1% 0.25W(1/4W) ±200ppm/C Pad SMD Automotive T/R</t>
  </si>
  <si>
    <t>RESC2012X05L</t>
  </si>
  <si>
    <t>ERJ-HP6F4R70V</t>
  </si>
  <si>
    <t>R5, R6, R9, R10, R17, R18, R21, R22, R25, R26, R31, R32, R35, R36, R39, R40</t>
  </si>
  <si>
    <t>AQ: 22R 2/3W 5% 1206</t>
  </si>
  <si>
    <t>Res Thick Film 1206 22 Ohm 5% 0.33W ±200ppm/°C Molded SMD Punched Carrier T/R</t>
  </si>
  <si>
    <t>RESC3115X06N</t>
  </si>
  <si>
    <t>SG73P2BTTD220J</t>
  </si>
  <si>
    <t>R12, R14, R64, R70, R88, R95</t>
  </si>
  <si>
    <t>AQ: 10R 1/4W 1% 0805</t>
  </si>
  <si>
    <t>Thick Film Resistors - SMD 10 ohm 1% 0.25W AEC-Q200</t>
  </si>
  <si>
    <t>RESC2012X05N</t>
  </si>
  <si>
    <t>ERJ-HP6F10R0V</t>
  </si>
  <si>
    <t>R15, R16, R104, R112, R118, R123, R125, R128, R130, R133, R147, R153, R161, R167, R169, R179, R184, R185, R187, R189, R190, R191, R199, R200, R244, R262, R293</t>
  </si>
  <si>
    <t>AQ: 10K 1/16W 1% 0402</t>
  </si>
  <si>
    <t>RES 10K OHM 1% 1/16W 0402</t>
  </si>
  <si>
    <t>RESC1005X04N</t>
  </si>
  <si>
    <t>ERJ-2RKF1002X</t>
  </si>
  <si>
    <t>R29, R30, R43, R51, R52, R69, R80, R83, R85, R111, R115, R120, R122, R132, R134, R143, R150, R162, R165, R168, R170, R173, R198, R221, R230, R231, R242, R243, R253, R269, R271, R274, R277, R299</t>
  </si>
  <si>
    <t>AQ: 1K 1/16W 1% 0402</t>
  </si>
  <si>
    <t>RES 1K OHM 1% 1/16W 0402</t>
  </si>
  <si>
    <t>ERJ-2RKF1001X</t>
  </si>
  <si>
    <t>R44, R45, R46, R53, R54, R61, R63, R114, R124</t>
  </si>
  <si>
    <t>AQ: 100R 1/16W 1% 0402</t>
  </si>
  <si>
    <t>Res Thick Film 0402 100 Ohm 1% 0.063W(1/16W) ±100ppm/C Pad SMD Automotive T/R</t>
  </si>
  <si>
    <t>RESC1005X04M</t>
  </si>
  <si>
    <t>ERJ-2RKF1000X</t>
  </si>
  <si>
    <t>R47, R48, R56, R57</t>
  </si>
  <si>
    <t>AQ: 39R 1/8W 1% 0805</t>
  </si>
  <si>
    <t>Res Thick Film 0805 39 Ohm 1% 1/8W ±100ppm/°C Molded SMD SMD Paper T/R</t>
  </si>
  <si>
    <t>ERJ-6ENF39R0V</t>
  </si>
  <si>
    <t>RMCF0805FT39R0</t>
  </si>
  <si>
    <t>R49, R110, R145, R149</t>
  </si>
  <si>
    <t>AQ: 150K 1/8W 1% 0805</t>
  </si>
  <si>
    <t>RES SMD 150k OHM 1% 1/8W 0805</t>
  </si>
  <si>
    <t>ERJ-6ENF1503V</t>
  </si>
  <si>
    <t>R50, R214, R236, R237, R280</t>
  </si>
  <si>
    <t>AQ: 47K0 1/16W 1% 0402</t>
  </si>
  <si>
    <t>Res Thick Film 0402 47K Ohm 1% 1/16W 100ppm/C Molded SMD SMD Paper T/R</t>
  </si>
  <si>
    <t>ERJ-2RKF4702X</t>
  </si>
  <si>
    <t>R58, R93, R126, R302</t>
  </si>
  <si>
    <t>AQ: 2K2 1/16W 1% 0402</t>
  </si>
  <si>
    <t>RES 2.2K OHM 1% 1/16W 0402</t>
  </si>
  <si>
    <t>ERJ-2RKF2201X</t>
  </si>
  <si>
    <t>R60, R62, R67, R68, R78, R84, R92, R96, R113, R119, R129, R155, R158, R171, R178, R180, R181, R182, R192, R193, R194, R197, R202, R203, R204, R205, R206, R207, R216, R217, R218, R219, R226, R239, R246, R252, R254, R255, R256, R257, R294, R295</t>
  </si>
  <si>
    <t>AQ: 49R9 1/16W 1% 0402</t>
  </si>
  <si>
    <t>Res Thick Film 0402 49.9 Ohm 1% 0.063W ±100ppm/°C Molded SMD Paper T/R</t>
  </si>
  <si>
    <t>ERJ-2RKF49R9X</t>
  </si>
  <si>
    <t>R65, R71, R75, R76, R89, R97, R102, R105, R116, R121, R131, R140, R141, R144, R151, R152, R163, R166, R172, R183, R195, R196, R209, R210, R211, R213, R229, R238, R258, R292, R297, R300</t>
  </si>
  <si>
    <t>AQ: 100K 1/16W 1% 0402</t>
  </si>
  <si>
    <t>RES 100K OHM 1% 1/16W 0402</t>
  </si>
  <si>
    <t>ERJ-2RKF1003X</t>
  </si>
  <si>
    <t>R72, R74, R86, R87, R94, R98, R157, R220, R223, R225, R251, R261, R283, R290</t>
  </si>
  <si>
    <t>AQ: 0R 1/16W 1% 0402</t>
  </si>
  <si>
    <t>RES 0 OHM JUMPER 1/16W 0402</t>
  </si>
  <si>
    <t>ERJ-2GE0R00X</t>
  </si>
  <si>
    <t>R73, R79, R156, R186, R188, R222, R232, R249</t>
  </si>
  <si>
    <t>AQ: 1M 1/16W 1% 0402</t>
  </si>
  <si>
    <t>RES 1M OHM 1% 1/16W 0402</t>
  </si>
  <si>
    <t>ERJ-2RKF1004X</t>
  </si>
  <si>
    <t>R82, R291</t>
  </si>
  <si>
    <t>AQ: 100K 1/10W 1% 0603</t>
  </si>
  <si>
    <t>RES 100K OHM 1% 1/10W 0603</t>
  </si>
  <si>
    <t>RESC1608X04N</t>
  </si>
  <si>
    <t>ERJ-3EKF1003V</t>
  </si>
  <si>
    <t>R91</t>
  </si>
  <si>
    <t>AQ: 0.0002R 5W 1%</t>
  </si>
  <si>
    <t>0.2 mOhms ±1% 12W Chip Resistor 3920 (1052 Metric) Current Sense, Moisture Resistant Metal Element</t>
  </si>
  <si>
    <t>RESC10052X130N</t>
  </si>
  <si>
    <t>R99</t>
  </si>
  <si>
    <t>AQ: 1K69 1/16W 1% 0402</t>
  </si>
  <si>
    <t>1.69 kOhms ±1% 0.063W, 1/16W Chip Resistor 0402 (1005 Metric) Automotive AEC-Q200 Thick Film</t>
  </si>
  <si>
    <t>RMCF0402FT1K69</t>
  </si>
  <si>
    <t>ERJ-2RKF1691X</t>
  </si>
  <si>
    <t>R100, R146</t>
  </si>
  <si>
    <t>AQ: 910K 1/10W 1% 0603</t>
  </si>
  <si>
    <t>Res Thick Film 0603 910K Ohm 1% 1/10W ±100ppm/°C Molded SMD SMD Paper T/R</t>
  </si>
  <si>
    <t>RESC1608X04M</t>
  </si>
  <si>
    <t>ERJ-3EKF9103V</t>
  </si>
  <si>
    <t>R101, R174, R285, R286</t>
  </si>
  <si>
    <t>AQ: 4.7K 1/16W 1% 0402</t>
  </si>
  <si>
    <t>RES 4.7K OHM 1% 1/16W 0402</t>
  </si>
  <si>
    <t>ERJ-2RKF4701X</t>
  </si>
  <si>
    <t>R107_1, R107_2, R107_3, R109_1, R109_2, R109_3, R117</t>
  </si>
  <si>
    <t>AQ: 22R 1/4W 5% 0603</t>
  </si>
  <si>
    <t>Res Thick Film 0603 22 Ohm 5% 0.25W(1/4W) ±200ppm/C Pad SMD Automotive T/R</t>
  </si>
  <si>
    <t>SG73P1JTTD220J</t>
  </si>
  <si>
    <t>R135</t>
  </si>
  <si>
    <t>AQ: 60R4 3/4W 1% 0612</t>
  </si>
  <si>
    <t>Res High Power Thick Film 1206 60.4 Ohm 1% 3/4W ±100ppm/°C Molded Paper T/R</t>
  </si>
  <si>
    <t>RESC1632X06N</t>
  </si>
  <si>
    <t>R136</t>
  </si>
  <si>
    <t>AQ: 1K 1/2W 5% 0805</t>
  </si>
  <si>
    <t>Res Thick Film 0805 1K Ohm 5% 0.25W ±200ppm/°C Molded SMD Punched Carrier T/R</t>
  </si>
  <si>
    <t>SG73P2ATTD102J</t>
  </si>
  <si>
    <t>R137, R176</t>
  </si>
  <si>
    <t>AQ: 180K 1/16W 1% 0402</t>
  </si>
  <si>
    <t>Res Thick Film 0402 180K Ohm 1% 1/16W ±100ppm/°C Molded SMD SMD Paper T/R</t>
  </si>
  <si>
    <t>R139, R154, R296</t>
  </si>
  <si>
    <t>AQ: 33K 1/16W 1% 0402</t>
  </si>
  <si>
    <t>Res Thick Film 0402 33K Ohm 1% 0.063W(1/16W) ±100ppm/C Pad SMD Automotive T/R, RES SMD 33K OHM 1% 1/16W 0402</t>
  </si>
  <si>
    <t>ERJ-2RKF3302X</t>
  </si>
  <si>
    <t>R142</t>
  </si>
  <si>
    <t>AQ: 1M 1/8W 1% 0805</t>
  </si>
  <si>
    <t>Res Thick Film 0805 1M Ohm 1% 1/8W ±200ppm/°C Molded SMD SMD Paper T/R</t>
  </si>
  <si>
    <t>RMCF0805FG1M00</t>
  </si>
  <si>
    <t>ERJ-6ENF1004V</t>
  </si>
  <si>
    <t>R148</t>
  </si>
  <si>
    <t>AQ: 82K 1/16W 1% 0402</t>
  </si>
  <si>
    <t>Res Thick Film 0402 82K Ohm 1% 0.063W(1/16W) ±100ppm/C Pad SMD Automotive T/R</t>
  </si>
  <si>
    <t>RMCF0402FT82K0</t>
  </si>
  <si>
    <t>ERJ-2RKF8202X</t>
  </si>
  <si>
    <t>R159, R234</t>
  </si>
  <si>
    <t>AQ: 470K 1/8W 1% 0805</t>
  </si>
  <si>
    <t>Res Thick Film 0805 470K Ohm 1% 1/8W ±100ppm/°C Molded SMD SMD Paper T/R</t>
  </si>
  <si>
    <t>ERJ-6ENF4703V</t>
  </si>
  <si>
    <t>R160</t>
  </si>
  <si>
    <t>AQ: 22K 1/16W 1% 0402</t>
  </si>
  <si>
    <t>Res Thick Film 0402 22K Ohm 1% 0.063W(1/16W) ±100ppm/C Pad SMD Automotive T/R</t>
  </si>
  <si>
    <t>ERJ-2RKF2202X</t>
  </si>
  <si>
    <t>R233, R270, R278</t>
  </si>
  <si>
    <t>AQ: 220K 1/16W 1% 0402</t>
  </si>
  <si>
    <t>RES 220K OHM 1% 1/16W 0402</t>
  </si>
  <si>
    <t>ERJ-2RKF2203X</t>
  </si>
  <si>
    <t>R235</t>
  </si>
  <si>
    <t>0.47R 1/10W 1% 0603</t>
  </si>
  <si>
    <t>Res Thick Film 0603 0.47 Ohm 1% 0.1W(1/10W) ±800ppm/C Molded SMD Paper T/R</t>
  </si>
  <si>
    <t>ERJ-3RQFR47V</t>
  </si>
  <si>
    <t>RMCF0603JTR470</t>
  </si>
  <si>
    <t>R240, R241, R248</t>
  </si>
  <si>
    <t>AQ: 4R7 1/16W 1% 0402 STK</t>
  </si>
  <si>
    <t>Res Thick Film 0402 4.7 Ohm 1% 0.063W(1/16W) ±200ppm/C Pad SMD Automotive T/R</t>
  </si>
  <si>
    <t>R263, R264, R265, R266, R267</t>
  </si>
  <si>
    <t>AQ: 2R2 3W 5% 2512</t>
  </si>
  <si>
    <t>Res Thick Film 2512 2.2 Ohm 5% 3W ±200ppm/C Pad SMD T/R</t>
  </si>
  <si>
    <t>RESC6431X06L_TE_3522</t>
  </si>
  <si>
    <t>CSRT2512FT2R20</t>
  </si>
  <si>
    <t>R284, R287, R288</t>
  </si>
  <si>
    <t>AQ: NTC 10K 1% 3380K 0402</t>
  </si>
  <si>
    <t>Thermistor NTC 10K Ohm 1% 2-Pin 0402 Surface Mount Solder Pad 3435K T/R Automotive</t>
  </si>
  <si>
    <t>RECPT1</t>
  </si>
  <si>
    <t>RECPT 10: 5051511000 MLX-DURA</t>
  </si>
  <si>
    <t>DuraClik TPA Wire-to-Board Receptacle Housing, 10 Circuits, Black</t>
  </si>
  <si>
    <t>RECPT2</t>
  </si>
  <si>
    <t>RECPT 22: 5031492200 MLX-CLK</t>
  </si>
  <si>
    <t>1.50mm Pitch, CLIK-Mate Plug Crimp Housing, Dual Row, Positive Lock, 22 Circuits, Beige</t>
  </si>
  <si>
    <t>RECPT3</t>
  </si>
  <si>
    <t>RECPT 12: 5051511200 MLX-DURA</t>
  </si>
  <si>
    <t>DuraClik TPA Wire-to-Board Receptacle Housing, 12 Circuits, Black</t>
  </si>
  <si>
    <t>U1, U2</t>
  </si>
  <si>
    <t>AQ IC: TLE9012DQU</t>
  </si>
  <si>
    <t>Li-Ion Battery Monitoring and Balancing IC</t>
  </si>
  <si>
    <t>QFP50P900X900X120-49N-V3</t>
  </si>
  <si>
    <t>U3</t>
  </si>
  <si>
    <t>AQ IC: TPS48111LQDGXRQ1</t>
  </si>
  <si>
    <t>TPS48111-Q1 evaluation module for smart high-side driver</t>
  </si>
  <si>
    <t>VSSOP50P490X110-19N</t>
  </si>
  <si>
    <t>U4</t>
  </si>
  <si>
    <t>AQ IC: TCAN1042HVDRQ1</t>
  </si>
  <si>
    <t>IC TXRX CAN FAULT PROT 8SOIC</t>
  </si>
  <si>
    <t>SOIC127P600X175-8M</t>
  </si>
  <si>
    <t>U5</t>
  </si>
  <si>
    <t>AQ IC: TLV9032QDDFRQ1</t>
  </si>
  <si>
    <t>Automotive, 1.65-V to 5.5-V, precision dual push-pull comparator 8-SOT-23-THIN -40 to 125</t>
  </si>
  <si>
    <t>SOT65P280X110-8N</t>
  </si>
  <si>
    <t>U6</t>
  </si>
  <si>
    <t>IC: INA296A3IDDFR</t>
  </si>
  <si>
    <t>High-precision current sense amplifier , 50X, -4-V to 110-V, Bidirectional, 1-MHz, 5-V/µs, 8-SOT-23-THIN</t>
  </si>
  <si>
    <t>U7, U8, U12, U14, U15, U24</t>
  </si>
  <si>
    <t>AQ: BUF: 74LVC1G125QW5-7</t>
  </si>
  <si>
    <t>SOT95P280X145-5N</t>
  </si>
  <si>
    <t>U9, U10, U11, U13</t>
  </si>
  <si>
    <t>AQ IC: TLV9061-Q1</t>
  </si>
  <si>
    <t>Operational Amplifiers - Op Amps AEC-Q100, 1-channel, 10-MHz, low-noise, RRIO, CMOS operational amplifier with shutdown capability 6-SOT-23 -40 to 125</t>
  </si>
  <si>
    <t>SOT95P280X145-6N</t>
  </si>
  <si>
    <t>U16</t>
  </si>
  <si>
    <t>AQ IC: RA8900CE UB</t>
  </si>
  <si>
    <t>IC Rtc Clk/calendar I2C SMD</t>
  </si>
  <si>
    <t>RA8900CE_EPSON_10pin</t>
  </si>
  <si>
    <t>RX8900CEUB</t>
  </si>
  <si>
    <t>U17</t>
  </si>
  <si>
    <t>AQ: TLV7031QDBVRQ1</t>
  </si>
  <si>
    <t>Automotive nano power comparator with push-pull output 5-SOT-23 -40 to 125</t>
  </si>
  <si>
    <t>U18</t>
  </si>
  <si>
    <t>AQ IC: S25FL064LABMFM010</t>
  </si>
  <si>
    <t>IC FLASH 64M SPI 108MHZ 8SOIC</t>
  </si>
  <si>
    <t>SOIC127P800X216-8N</t>
  </si>
  <si>
    <t>U19</t>
  </si>
  <si>
    <t>AQ IC: SAK-TC212L-8F133F AC</t>
  </si>
  <si>
    <t>32-Bit Single-Chip Microcontroller</t>
  </si>
  <si>
    <t>QFP40P1200X1200X120-81N</t>
  </si>
  <si>
    <t>Infinenon Technologies</t>
  </si>
  <si>
    <t>U20</t>
  </si>
  <si>
    <t>AQ IC: LM5164QDDARQ1</t>
  </si>
  <si>
    <t>6-V to 100-V input, 3.5-A non-synchronous buck DC/DC converter with ultra-low quiescent current (IQ)</t>
  </si>
  <si>
    <t>SOIC127P600X170_HS-9N</t>
  </si>
  <si>
    <t>U21</t>
  </si>
  <si>
    <t>AQ: IC: 74LVC2G240DP-Q100H</t>
  </si>
  <si>
    <t>IC INVERTER DUAL 4-INPUT</t>
  </si>
  <si>
    <t>TSOP65P400X110-8N</t>
  </si>
  <si>
    <t>U22</t>
  </si>
  <si>
    <t>AQ IC: TLF35584QVVS2</t>
  </si>
  <si>
    <t>Multi Voltage Safety Micro Processor Supply, (3.3V Variant)</t>
  </si>
  <si>
    <t>QFN50P700X700X90-49N-3-1</t>
  </si>
  <si>
    <t>X1</t>
  </si>
  <si>
    <t>AQ: 20MHz 8pF</t>
  </si>
  <si>
    <t>Crystal 20.0000MHZ 8PF SMD</t>
  </si>
  <si>
    <t>OSCCC2216X05</t>
  </si>
  <si>
    <t>ABM8AIG-20.000MHZ-8-7Z-T3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</si>
</sst>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Proxima Nova"/>
    </font>
    <font>
      <color theme="1"/>
      <name val="Arial"/>
    </font>
    <font>
      <sz val="10.0"/>
      <color theme="1"/>
      <name val="Arial"/>
    </font>
    <font>
      <sz val="10.0"/>
      <color theme="1"/>
      <name val="Calibri"/>
    </font>
    <font>
      <b/>
      <color theme="1"/>
      <name val="Arial"/>
    </font>
    <font>
      <color theme="1"/>
      <name val="Proxima Nova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vertical="center"/>
    </xf>
    <xf borderId="2" fillId="3" fontId="3" numFmtId="0" xfId="0" applyBorder="1" applyFill="1" applyFont="1"/>
    <xf borderId="2" fillId="3" fontId="3" numFmtId="49" xfId="0" applyBorder="1" applyFont="1" applyNumberFormat="1"/>
    <xf borderId="3" fillId="0" fontId="4" numFmtId="0" xfId="0" applyAlignment="1" applyBorder="1" applyFont="1">
      <alignment vertical="top"/>
    </xf>
    <xf borderId="4" fillId="0" fontId="4" numFmtId="0" xfId="0" applyAlignment="1" applyBorder="1" applyFont="1">
      <alignment vertical="top"/>
    </xf>
    <xf borderId="0" fillId="0" fontId="5" numFmtId="0" xfId="0" applyAlignment="1" applyFont="1">
      <alignment vertical="top"/>
    </xf>
    <xf borderId="5" fillId="3" fontId="3" numFmtId="0" xfId="0" applyBorder="1" applyFont="1"/>
    <xf borderId="5" fillId="3" fontId="3" numFmtId="1" xfId="0" applyBorder="1" applyFont="1" applyNumberFormat="1"/>
    <xf borderId="6" fillId="0" fontId="4" numFmtId="0" xfId="0" applyAlignment="1" applyBorder="1" applyFont="1">
      <alignment vertical="top"/>
    </xf>
    <xf borderId="7" fillId="0" fontId="4" numFmtId="0" xfId="0" applyAlignment="1" applyBorder="1" applyFont="1">
      <alignment vertical="top"/>
    </xf>
    <xf borderId="8" fillId="3" fontId="5" numFmtId="0" xfId="0" applyBorder="1" applyFont="1"/>
    <xf borderId="0" fillId="0" fontId="6" numFmtId="0" xfId="0" applyFont="1"/>
    <xf borderId="1" fillId="2" fontId="7" numFmtId="0" xfId="0" applyAlignment="1" applyBorder="1" applyFont="1">
      <alignment horizontal="center" shrinkToFit="0" vertical="bottom" wrapText="1"/>
    </xf>
    <xf borderId="9" fillId="2" fontId="7" numFmtId="0" xfId="0" applyAlignment="1" applyBorder="1" applyFont="1">
      <alignment horizontal="center" shrinkToFit="0" vertical="bottom" wrapText="1"/>
    </xf>
    <xf borderId="9" fillId="2" fontId="7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0" fillId="3" fontId="8" numFmtId="0" xfId="0" applyAlignment="1" applyBorder="1" applyFont="1">
      <alignment vertical="bottom"/>
    </xf>
    <xf borderId="3" fillId="3" fontId="8" numFmtId="0" xfId="0" applyAlignment="1" applyBorder="1" applyFont="1">
      <alignment vertical="bottom"/>
    </xf>
    <xf borderId="0" fillId="3" fontId="8" numFmtId="1" xfId="0" applyAlignment="1" applyFont="1" applyNumberFormat="1">
      <alignment vertical="bottom"/>
    </xf>
    <xf borderId="3" fillId="3" fontId="4" numFmtId="0" xfId="0" applyAlignment="1" applyBorder="1" applyFont="1">
      <alignment vertical="bottom"/>
    </xf>
    <xf borderId="3" fillId="3" fontId="8" numFmtId="0" xfId="0" applyAlignment="1" applyBorder="1" applyFont="1">
      <alignment horizontal="right" vertical="bottom"/>
    </xf>
    <xf borderId="0" fillId="0" fontId="4" numFmtId="0" xfId="0" applyAlignment="1" applyFont="1">
      <alignment vertical="top"/>
    </xf>
    <xf borderId="0" fillId="3" fontId="8" numFmtId="0" xfId="0" applyAlignment="1" applyFont="1">
      <alignment vertical="bottom"/>
    </xf>
    <xf borderId="3" fillId="3" fontId="8" numFmtId="1" xfId="0" applyAlignment="1" applyBorder="1" applyFont="1" applyNumberFormat="1">
      <alignment vertical="bottom"/>
    </xf>
    <xf borderId="3" fillId="3" fontId="8" numFmtId="1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38"/>
    <col customWidth="1" min="2" max="2" width="32.13"/>
    <col customWidth="1" min="3" max="3" width="25.25"/>
    <col customWidth="1" min="4" max="4" width="17.38"/>
    <col customWidth="1" min="5" max="5" width="29.13"/>
    <col customWidth="1" min="6" max="6" width="27.38"/>
    <col customWidth="1" min="7" max="7" width="24.63"/>
    <col customWidth="1" min="8" max="8" width="24.75"/>
    <col customWidth="1" min="9" max="9" width="21.0"/>
    <col customWidth="1" min="10" max="19" width="8.0"/>
  </cols>
  <sheetData>
    <row r="1" ht="26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</row>
    <row r="2" ht="12.75" customHeight="1">
      <c r="A2" s="4" t="s">
        <v>9</v>
      </c>
      <c r="B2" s="5" t="s">
        <v>10</v>
      </c>
      <c r="C2" s="4">
        <v>64.0</v>
      </c>
      <c r="D2" s="4"/>
      <c r="E2" s="4"/>
      <c r="F2" s="6" t="str">
        <f>VLOOKUP(B2,Sheet1!$F$2:$N$100,6,False)</f>
        <v>Samsung</v>
      </c>
      <c r="G2" s="7" t="str">
        <f>VLOOKUP(B2,Sheet1!$F$2:$N$100,7,False)</f>
        <v>CL05B104KA54PNC</v>
      </c>
      <c r="H2" s="7" t="str">
        <f>VLOOKUP(B2,Sheet1!$F$2:$N$100,8,False)</f>
        <v/>
      </c>
      <c r="I2" s="7" t="str">
        <f>VLOOKUP(B2,Sheet1!$F$2:$N$100,9,False)</f>
        <v/>
      </c>
      <c r="J2" s="8"/>
      <c r="K2" s="8"/>
      <c r="L2" s="8"/>
      <c r="M2" s="8"/>
      <c r="N2" s="8"/>
      <c r="O2" s="8"/>
      <c r="P2" s="8"/>
      <c r="Q2" s="8"/>
      <c r="R2" s="8"/>
      <c r="S2" s="8"/>
    </row>
    <row r="3" ht="12.75" customHeight="1">
      <c r="A3" s="4" t="s">
        <v>9</v>
      </c>
      <c r="B3" s="5" t="s">
        <v>11</v>
      </c>
      <c r="C3" s="4">
        <v>19.0</v>
      </c>
      <c r="D3" s="4"/>
      <c r="E3" s="4"/>
      <c r="F3" s="6" t="str">
        <f>VLOOKUP(B3,Sheet1!$F$2:$N$100,6,False)</f>
        <v>Samsung</v>
      </c>
      <c r="G3" s="7" t="str">
        <f>VLOOKUP(B3,Sheet1!$F$2:$N$100,7,False)</f>
        <v>CL10B334KA8VPNC</v>
      </c>
      <c r="H3" s="7" t="str">
        <f>VLOOKUP(B3,Sheet1!$F$2:$N$100,8,False)</f>
        <v/>
      </c>
      <c r="I3" s="7" t="str">
        <f>VLOOKUP(B3,Sheet1!$F$2:$N$100,9,False)</f>
        <v/>
      </c>
      <c r="J3" s="8"/>
      <c r="K3" s="8"/>
      <c r="L3" s="8"/>
      <c r="M3" s="8"/>
      <c r="N3" s="8"/>
      <c r="O3" s="8"/>
      <c r="P3" s="8"/>
      <c r="Q3" s="8"/>
      <c r="R3" s="8"/>
      <c r="S3" s="8"/>
    </row>
    <row r="4" ht="12.75" customHeight="1">
      <c r="A4" s="4" t="s">
        <v>12</v>
      </c>
      <c r="B4" s="5" t="s">
        <v>13</v>
      </c>
      <c r="C4" s="4">
        <v>2.0</v>
      </c>
      <c r="D4" s="4"/>
      <c r="E4" s="4"/>
      <c r="F4" s="6" t="str">
        <f>VLOOKUP(B4,Sheet1!$F$2:$N$100,6,False)</f>
        <v>Murata Electronics</v>
      </c>
      <c r="G4" s="7" t="str">
        <f>VLOOKUP(B4,Sheet1!$F$2:$N$100,7,False)</f>
        <v>GCJ21BR72A104KA01L</v>
      </c>
      <c r="H4" s="7" t="str">
        <f>VLOOKUP(B4,Sheet1!$F$2:$N$100,8,False)</f>
        <v>Samsung</v>
      </c>
      <c r="I4" s="7" t="str">
        <f>VLOOKUP(B4,Sheet1!$F$2:$N$100,9,False)</f>
        <v>CL21B104KCFWPNE</v>
      </c>
      <c r="J4" s="8"/>
      <c r="K4" s="8"/>
      <c r="L4" s="8"/>
      <c r="M4" s="8"/>
      <c r="N4" s="8"/>
      <c r="O4" s="8"/>
      <c r="P4" s="8"/>
      <c r="Q4" s="8"/>
      <c r="R4" s="8"/>
      <c r="S4" s="8"/>
    </row>
    <row r="5" ht="12.75" customHeight="1">
      <c r="A5" s="4" t="s">
        <v>12</v>
      </c>
      <c r="B5" s="5" t="s">
        <v>14</v>
      </c>
      <c r="C5" s="4">
        <v>6.0</v>
      </c>
      <c r="D5" s="4"/>
      <c r="E5" s="4"/>
      <c r="F5" s="6" t="str">
        <f>VLOOKUP(B5,Sheet1!$F$2:$N$100,6,False)</f>
        <v/>
      </c>
      <c r="G5" s="7" t="str">
        <f>VLOOKUP(B5,Sheet1!$F$2:$N$100,7,False)</f>
        <v/>
      </c>
      <c r="H5" s="7" t="str">
        <f>VLOOKUP(B5,Sheet1!$F$2:$N$100,8,False)</f>
        <v/>
      </c>
      <c r="I5" s="7" t="str">
        <f>VLOOKUP(B5,Sheet1!$F$2:$N$100,9,False)</f>
        <v/>
      </c>
      <c r="J5" s="8"/>
      <c r="K5" s="8"/>
      <c r="L5" s="8"/>
      <c r="M5" s="8"/>
      <c r="N5" s="8"/>
      <c r="O5" s="8"/>
      <c r="P5" s="8"/>
      <c r="Q5" s="8"/>
      <c r="R5" s="8"/>
      <c r="S5" s="8"/>
    </row>
    <row r="6" ht="12.75" customHeight="1">
      <c r="A6" s="4" t="s">
        <v>9</v>
      </c>
      <c r="B6" s="5" t="s">
        <v>15</v>
      </c>
      <c r="C6" s="4">
        <v>28.0</v>
      </c>
      <c r="D6" s="4"/>
      <c r="E6" s="4"/>
      <c r="F6" s="6" t="str">
        <f>VLOOKUP(B6,Sheet1!$F$2:$N$100,6,False)</f>
        <v>Samsung</v>
      </c>
      <c r="G6" s="7" t="str">
        <f>VLOOKUP(B6,Sheet1!$F$2:$N$100,7,False)</f>
        <v>CL21B105KAFVPNE</v>
      </c>
      <c r="H6" s="7" t="str">
        <f>VLOOKUP(B6,Sheet1!$F$2:$N$100,8,False)</f>
        <v/>
      </c>
      <c r="I6" s="7" t="str">
        <f>VLOOKUP(B6,Sheet1!$F$2:$N$100,9,False)</f>
        <v/>
      </c>
      <c r="J6" s="8"/>
      <c r="K6" s="8"/>
      <c r="L6" s="8"/>
      <c r="M6" s="8"/>
      <c r="N6" s="8"/>
      <c r="O6" s="8"/>
      <c r="P6" s="8"/>
      <c r="Q6" s="8"/>
      <c r="R6" s="8"/>
      <c r="S6" s="8"/>
    </row>
    <row r="7" ht="12.75" customHeight="1">
      <c r="A7" s="4" t="s">
        <v>12</v>
      </c>
      <c r="B7" s="5" t="s">
        <v>16</v>
      </c>
      <c r="C7" s="4">
        <v>18.0</v>
      </c>
      <c r="D7" s="4"/>
      <c r="E7" s="4"/>
      <c r="F7" s="6" t="str">
        <f>VLOOKUP(B7,Sheet1!$F$2:$N$100,6,False)</f>
        <v>KEMET</v>
      </c>
      <c r="G7" s="7" t="str">
        <f>VLOOKUP(B7,Sheet1!$F$2:$N$100,7,False)</f>
        <v>C0603C224K3RECAUTO</v>
      </c>
      <c r="H7" s="7" t="str">
        <f>VLOOKUP(B7,Sheet1!$F$2:$N$100,8,False)</f>
        <v>KEMET</v>
      </c>
      <c r="I7" s="7" t="str">
        <f>VLOOKUP(B7,Sheet1!$F$2:$N$100,9,False)</f>
        <v>C0603C224K3RECAUTO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 ht="12.75" customHeight="1">
      <c r="A8" s="4" t="s">
        <v>17</v>
      </c>
      <c r="B8" s="5" t="s">
        <v>18</v>
      </c>
      <c r="C8" s="4">
        <v>7.0</v>
      </c>
      <c r="D8" s="4"/>
      <c r="E8" s="4"/>
      <c r="F8" s="6" t="str">
        <f>VLOOKUP(B8,Sheet1!$F$2:$N$100,6,False)</f>
        <v>TDK</v>
      </c>
      <c r="G8" s="7" t="str">
        <f>VLOOKUP(B8,Sheet1!$F$2:$N$100,7,False)</f>
        <v>CGA4F3C0G2E102J085AA</v>
      </c>
      <c r="H8" s="7" t="str">
        <f>VLOOKUP(B8,Sheet1!$F$2:$N$100,8,False)</f>
        <v/>
      </c>
      <c r="I8" s="7" t="str">
        <f>VLOOKUP(B8,Sheet1!$F$2:$N$100,9,False)</f>
        <v/>
      </c>
      <c r="J8" s="8"/>
      <c r="K8" s="8"/>
      <c r="L8" s="8"/>
      <c r="M8" s="8"/>
      <c r="N8" s="8"/>
      <c r="O8" s="8"/>
      <c r="P8" s="8"/>
      <c r="Q8" s="8"/>
      <c r="R8" s="8"/>
      <c r="S8" s="8"/>
    </row>
    <row r="9" ht="12.75" customHeight="1">
      <c r="A9" s="4" t="s">
        <v>9</v>
      </c>
      <c r="B9" s="5" t="s">
        <v>19</v>
      </c>
      <c r="C9" s="4">
        <v>4.0</v>
      </c>
      <c r="D9" s="4"/>
      <c r="E9" s="4"/>
      <c r="F9" s="6" t="str">
        <f>VLOOKUP(B9,Sheet1!$F$2:$N$100,6,False)</f>
        <v>Samsung</v>
      </c>
      <c r="G9" s="7" t="str">
        <f>VLOOKUP(B9,Sheet1!$F$2:$N$100,7,False)</f>
        <v>CL10B105KA8VPNC</v>
      </c>
      <c r="H9" s="7" t="str">
        <f>VLOOKUP(B9,Sheet1!$F$2:$N$100,8,False)</f>
        <v/>
      </c>
      <c r="I9" s="7" t="str">
        <f>VLOOKUP(B9,Sheet1!$F$2:$N$100,9,False)</f>
        <v/>
      </c>
      <c r="J9" s="8"/>
      <c r="K9" s="8"/>
      <c r="L9" s="8"/>
      <c r="M9" s="8"/>
      <c r="N9" s="8"/>
      <c r="O9" s="8"/>
      <c r="P9" s="8"/>
      <c r="Q9" s="8"/>
      <c r="R9" s="8"/>
      <c r="S9" s="8"/>
    </row>
    <row r="10" ht="12.75" customHeight="1">
      <c r="A10" s="4" t="s">
        <v>17</v>
      </c>
      <c r="B10" s="5" t="s">
        <v>20</v>
      </c>
      <c r="C10" s="4">
        <v>4.0</v>
      </c>
      <c r="D10" s="4"/>
      <c r="E10" s="4"/>
      <c r="F10" s="6" t="str">
        <f>VLOOKUP(B10,Sheet1!$F$2:$N$100,6,False)</f>
        <v>Samsung</v>
      </c>
      <c r="G10" s="7" t="str">
        <f>VLOOKUP(B10,Sheet1!$F$2:$N$100,7,False)</f>
        <v>CL05C221JB51PNC</v>
      </c>
      <c r="H10" s="7" t="str">
        <f>VLOOKUP(B10,Sheet1!$F$2:$N$100,8,False)</f>
        <v/>
      </c>
      <c r="I10" s="7" t="str">
        <f>VLOOKUP(B10,Sheet1!$F$2:$N$100,9,False)</f>
        <v/>
      </c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12.75" customHeight="1">
      <c r="A11" s="4" t="s">
        <v>12</v>
      </c>
      <c r="B11" s="5" t="s">
        <v>21</v>
      </c>
      <c r="C11" s="4">
        <v>5.0</v>
      </c>
      <c r="D11" s="4"/>
      <c r="E11" s="4"/>
      <c r="F11" s="6" t="str">
        <f>VLOOKUP(B11,Sheet1!$F$2:$N$100,6,False)</f>
        <v/>
      </c>
      <c r="G11" s="7" t="str">
        <f>VLOOKUP(B11,Sheet1!$F$2:$N$100,7,False)</f>
        <v/>
      </c>
      <c r="H11" s="7" t="str">
        <f>VLOOKUP(B11,Sheet1!$F$2:$N$100,8,False)</f>
        <v/>
      </c>
      <c r="I11" s="7" t="str">
        <f>VLOOKUP(B11,Sheet1!$F$2:$N$100,9,False)</f>
        <v/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12.75" customHeight="1">
      <c r="A12" s="4" t="s">
        <v>12</v>
      </c>
      <c r="B12" s="5" t="s">
        <v>22</v>
      </c>
      <c r="C12" s="4">
        <v>6.0</v>
      </c>
      <c r="D12" s="4"/>
      <c r="E12" s="4"/>
      <c r="F12" s="6" t="str">
        <f>VLOOKUP(B12,Sheet1!$F$2:$N$100,6,False)</f>
        <v/>
      </c>
      <c r="G12" s="7" t="str">
        <f>VLOOKUP(B12,Sheet1!$F$2:$N$100,7,False)</f>
        <v/>
      </c>
      <c r="H12" s="7" t="str">
        <f>VLOOKUP(B12,Sheet1!$F$2:$N$100,8,False)</f>
        <v/>
      </c>
      <c r="I12" s="7" t="str">
        <f>VLOOKUP(B12,Sheet1!$F$2:$N$100,9,False)</f>
        <v/>
      </c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12.75" customHeight="1">
      <c r="A13" s="4" t="s">
        <v>9</v>
      </c>
      <c r="B13" s="5" t="s">
        <v>23</v>
      </c>
      <c r="C13" s="4">
        <v>4.0</v>
      </c>
      <c r="D13" s="4"/>
      <c r="E13" s="4"/>
      <c r="F13" s="6" t="str">
        <f>VLOOKUP(B13,Sheet1!$F$2:$N$100,6,False)</f>
        <v>Samsung</v>
      </c>
      <c r="G13" s="7" t="str">
        <f>VLOOKUP(B13,Sheet1!$F$2:$N$100,7,False)</f>
        <v>CL10B103KC8WPNC</v>
      </c>
      <c r="H13" s="7" t="str">
        <f>VLOOKUP(B13,Sheet1!$F$2:$N$100,8,False)</f>
        <v/>
      </c>
      <c r="I13" s="7" t="str">
        <f>VLOOKUP(B13,Sheet1!$F$2:$N$100,9,False)</f>
        <v/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12.75" customHeight="1">
      <c r="A14" s="4" t="s">
        <v>24</v>
      </c>
      <c r="B14" s="5" t="s">
        <v>25</v>
      </c>
      <c r="C14" s="4">
        <v>10.0</v>
      </c>
      <c r="D14" s="4"/>
      <c r="E14" s="4"/>
      <c r="F14" s="6" t="str">
        <f>VLOOKUP(B14,Sheet1!$F$2:$N$100,6,False)</f>
        <v>Samsung Electro-Mech</v>
      </c>
      <c r="G14" s="7" t="str">
        <f>VLOOKUP(B14,Sheet1!$F$2:$N$100,7,False)</f>
        <v>CL31B106KAHVPNE</v>
      </c>
      <c r="H14" s="7" t="str">
        <f>VLOOKUP(B14,Sheet1!$F$2:$N$100,8,False)</f>
        <v/>
      </c>
      <c r="I14" s="7" t="str">
        <f>VLOOKUP(B14,Sheet1!$F$2:$N$100,9,False)</f>
        <v/>
      </c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12.75" customHeight="1">
      <c r="A15" s="4" t="s">
        <v>26</v>
      </c>
      <c r="B15" s="5" t="s">
        <v>27</v>
      </c>
      <c r="C15" s="4">
        <v>2.0</v>
      </c>
      <c r="D15" s="4"/>
      <c r="E15" s="4"/>
      <c r="F15" s="6" t="str">
        <f>VLOOKUP(B15,Sheet1!$F$2:$N$100,6,False)</f>
        <v>Murata Electronics</v>
      </c>
      <c r="G15" s="7" t="str">
        <f>VLOOKUP(B15,Sheet1!$F$2:$N$100,7,False)</f>
        <v>GCM1555C1H470JA16D</v>
      </c>
      <c r="H15" s="7" t="str">
        <f>VLOOKUP(B15,Sheet1!$F$2:$N$100,8,False)</f>
        <v>Samsung</v>
      </c>
      <c r="I15" s="7" t="str">
        <f>VLOOKUP(B15,Sheet1!$F$2:$N$100,9,False)</f>
        <v>CL05C470JB51PNC</v>
      </c>
      <c r="J15" s="8"/>
      <c r="K15" s="8"/>
      <c r="L15" s="8"/>
      <c r="M15" s="8"/>
      <c r="N15" s="8"/>
      <c r="O15" s="8"/>
      <c r="P15" s="8"/>
      <c r="Q15" s="8"/>
      <c r="R15" s="8"/>
      <c r="S15" s="8"/>
    </row>
    <row r="16" ht="12.75" customHeight="1">
      <c r="A16" s="4" t="s">
        <v>17</v>
      </c>
      <c r="B16" s="5" t="s">
        <v>28</v>
      </c>
      <c r="C16" s="4">
        <v>2.0</v>
      </c>
      <c r="D16" s="4"/>
      <c r="E16" s="4"/>
      <c r="F16" s="6" t="str">
        <f>VLOOKUP(B16,Sheet1!$F$2:$N$100,6,False)</f>
        <v>Samsung</v>
      </c>
      <c r="G16" s="7" t="str">
        <f>VLOOKUP(B16,Sheet1!$F$2:$N$100,7,False)</f>
        <v>CL05C120JB51PNC</v>
      </c>
      <c r="H16" s="7" t="str">
        <f>VLOOKUP(B16,Sheet1!$F$2:$N$100,8,False)</f>
        <v/>
      </c>
      <c r="I16" s="7" t="str">
        <f>VLOOKUP(B16,Sheet1!$F$2:$N$100,9,False)</f>
        <v/>
      </c>
      <c r="J16" s="8"/>
      <c r="K16" s="8"/>
      <c r="L16" s="8"/>
      <c r="M16" s="8"/>
      <c r="N16" s="8"/>
      <c r="O16" s="8"/>
      <c r="P16" s="8"/>
      <c r="Q16" s="8"/>
      <c r="R16" s="8"/>
      <c r="S16" s="8"/>
    </row>
    <row r="17" ht="12.75" customHeight="1">
      <c r="A17" s="4" t="s">
        <v>24</v>
      </c>
      <c r="B17" s="5" t="s">
        <v>29</v>
      </c>
      <c r="C17" s="4">
        <v>2.0</v>
      </c>
      <c r="D17" s="4"/>
      <c r="E17" s="4"/>
      <c r="F17" s="6" t="str">
        <f>VLOOKUP(B17,Sheet1!$F$2:$N$100,6,False)</f>
        <v>Murata Electronics</v>
      </c>
      <c r="G17" s="7" t="str">
        <f>VLOOKUP(B17,Sheet1!$F$2:$N$100,7,False)</f>
        <v> GCM155R71H222KA37D</v>
      </c>
      <c r="H17" s="7" t="str">
        <f>VLOOKUP(B17,Sheet1!$F$2:$N$100,8,False)</f>
        <v/>
      </c>
      <c r="I17" s="7" t="str">
        <f>VLOOKUP(B17,Sheet1!$F$2:$N$100,9,False)</f>
        <v/>
      </c>
      <c r="J17" s="8"/>
      <c r="K17" s="8"/>
      <c r="L17" s="8"/>
      <c r="M17" s="8"/>
      <c r="N17" s="8"/>
      <c r="O17" s="8"/>
      <c r="P17" s="8"/>
      <c r="Q17" s="8"/>
      <c r="R17" s="8"/>
      <c r="S17" s="8"/>
    </row>
    <row r="18" ht="12.75" customHeight="1">
      <c r="A18" s="4" t="s">
        <v>24</v>
      </c>
      <c r="B18" s="5" t="s">
        <v>30</v>
      </c>
      <c r="C18" s="4">
        <v>4.0</v>
      </c>
      <c r="D18" s="4"/>
      <c r="E18" s="4"/>
      <c r="F18" s="6" t="str">
        <f>VLOOKUP(B18,Sheet1!$F$2:$N$100,6,False)</f>
        <v>Murata Electronics</v>
      </c>
      <c r="G18" s="7" t="str">
        <f>VLOOKUP(B18,Sheet1!$F$2:$N$100,7,False)</f>
        <v> GCJ32DR72A225KA01L</v>
      </c>
      <c r="H18" s="7" t="str">
        <f>VLOOKUP(B18,Sheet1!$F$2:$N$100,8,False)</f>
        <v/>
      </c>
      <c r="I18" s="7" t="str">
        <f>VLOOKUP(B18,Sheet1!$F$2:$N$100,9,False)</f>
        <v/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12.75" customHeight="1">
      <c r="A19" s="4" t="s">
        <v>31</v>
      </c>
      <c r="B19" s="5" t="s">
        <v>32</v>
      </c>
      <c r="C19" s="4">
        <v>30.0</v>
      </c>
      <c r="D19" s="4"/>
      <c r="E19" s="4"/>
      <c r="F19" s="6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12.75" customHeight="1">
      <c r="A20" s="4" t="s">
        <v>31</v>
      </c>
      <c r="B20" s="5" t="s">
        <v>33</v>
      </c>
      <c r="C20" s="4">
        <v>22.0</v>
      </c>
      <c r="D20" s="4"/>
      <c r="E20" s="4"/>
      <c r="F20" s="6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ht="12.75" customHeight="1">
      <c r="A21" s="4" t="s">
        <v>34</v>
      </c>
      <c r="B21" s="5" t="s">
        <v>35</v>
      </c>
      <c r="C21" s="4">
        <v>1.0</v>
      </c>
      <c r="D21" s="4"/>
      <c r="E21" s="4"/>
      <c r="F21" s="6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12.75" customHeight="1">
      <c r="A22" s="4" t="s">
        <v>36</v>
      </c>
      <c r="B22" s="5" t="s">
        <v>37</v>
      </c>
      <c r="C22" s="4">
        <v>2.0</v>
      </c>
      <c r="D22" s="4"/>
      <c r="E22" s="4"/>
      <c r="F22" s="6"/>
      <c r="G22" s="7"/>
      <c r="H22" s="7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ht="12.75" customHeight="1">
      <c r="A23" s="4" t="s">
        <v>34</v>
      </c>
      <c r="B23" s="5" t="s">
        <v>38</v>
      </c>
      <c r="C23" s="4">
        <v>3.0</v>
      </c>
      <c r="D23" s="4"/>
      <c r="E23" s="4"/>
      <c r="F23" s="6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ht="12.75" customHeight="1">
      <c r="A24" s="4" t="s">
        <v>34</v>
      </c>
      <c r="B24" s="5" t="s">
        <v>39</v>
      </c>
      <c r="C24" s="4">
        <v>3.0</v>
      </c>
      <c r="D24" s="4"/>
      <c r="E24" s="4"/>
      <c r="F24" s="6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ht="12.75" customHeight="1">
      <c r="A25" s="4" t="s">
        <v>34</v>
      </c>
      <c r="B25" s="5" t="s">
        <v>40</v>
      </c>
      <c r="C25" s="4">
        <v>2.0</v>
      </c>
      <c r="D25" s="4"/>
      <c r="E25" s="4"/>
      <c r="F25" s="6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ht="12.75" customHeight="1">
      <c r="A26" s="4" t="s">
        <v>34</v>
      </c>
      <c r="B26" s="5" t="s">
        <v>41</v>
      </c>
      <c r="C26" s="4">
        <v>2.0</v>
      </c>
      <c r="D26" s="4"/>
      <c r="E26" s="4"/>
      <c r="F26" s="6"/>
      <c r="G26" s="7"/>
      <c r="H26" s="7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ht="12.75" customHeight="1">
      <c r="A27" s="4" t="s">
        <v>34</v>
      </c>
      <c r="B27" s="5" t="s">
        <v>42</v>
      </c>
      <c r="C27" s="4">
        <v>2.0</v>
      </c>
      <c r="D27" s="4"/>
      <c r="E27" s="4"/>
      <c r="F27" s="6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ht="12.75" customHeight="1">
      <c r="A28" s="4" t="s">
        <v>34</v>
      </c>
      <c r="B28" s="5" t="s">
        <v>43</v>
      </c>
      <c r="C28" s="4">
        <v>1.0</v>
      </c>
      <c r="D28" s="4"/>
      <c r="E28" s="4"/>
      <c r="F28" s="6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ht="12.75" customHeight="1">
      <c r="A29" s="4" t="s">
        <v>34</v>
      </c>
      <c r="B29" s="5" t="s">
        <v>44</v>
      </c>
      <c r="C29" s="4">
        <v>6.0</v>
      </c>
      <c r="D29" s="4"/>
      <c r="E29" s="4"/>
      <c r="F29" s="6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ht="12.75" customHeight="1">
      <c r="A30" s="4" t="s">
        <v>34</v>
      </c>
      <c r="B30" s="5" t="s">
        <v>45</v>
      </c>
      <c r="C30" s="4">
        <v>2.0</v>
      </c>
      <c r="D30" s="4"/>
      <c r="E30" s="4"/>
      <c r="F30" s="6"/>
      <c r="G30" s="7"/>
      <c r="H30" s="7"/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ht="12.75" customHeight="1">
      <c r="A31" s="4" t="s">
        <v>46</v>
      </c>
      <c r="B31" s="5" t="s">
        <v>47</v>
      </c>
      <c r="C31" s="4">
        <v>2.0</v>
      </c>
      <c r="D31" s="4" t="s">
        <v>48</v>
      </c>
      <c r="E31" s="4" t="s">
        <v>49</v>
      </c>
      <c r="F31" s="6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ht="12.75" customHeight="1">
      <c r="A32" s="4" t="s">
        <v>50</v>
      </c>
      <c r="B32" s="5" t="s">
        <v>51</v>
      </c>
      <c r="C32" s="4">
        <v>3.0</v>
      </c>
      <c r="D32" s="4"/>
      <c r="E32" s="4"/>
      <c r="F32" s="6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ht="12.75" customHeight="1">
      <c r="A33" s="4" t="s">
        <v>31</v>
      </c>
      <c r="B33" s="5" t="s">
        <v>52</v>
      </c>
      <c r="C33" s="4">
        <v>1.0</v>
      </c>
      <c r="D33" s="4"/>
      <c r="E33" s="4"/>
      <c r="F33" s="6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ht="12.75" customHeight="1">
      <c r="A34" s="4" t="s">
        <v>31</v>
      </c>
      <c r="B34" s="5" t="s">
        <v>53</v>
      </c>
      <c r="C34" s="4">
        <v>1.0</v>
      </c>
      <c r="D34" s="4"/>
      <c r="E34" s="4"/>
      <c r="F34" s="6"/>
      <c r="G34" s="7"/>
      <c r="H34" s="7"/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ht="12.75" customHeight="1">
      <c r="A35" s="4" t="s">
        <v>31</v>
      </c>
      <c r="B35" s="5" t="s">
        <v>54</v>
      </c>
      <c r="C35" s="4">
        <v>1.0</v>
      </c>
      <c r="D35" s="4"/>
      <c r="E35" s="4"/>
      <c r="F35" s="6" t="str">
        <f>VLOOKUP(B35,Sheet1!$F$2:$N$100,6,False)</f>
        <v/>
      </c>
      <c r="G35" s="7" t="str">
        <f>VLOOKUP(B35,Sheet1!$F$2:$N$100,7,False)</f>
        <v/>
      </c>
      <c r="H35" s="7" t="str">
        <f>VLOOKUP(B35,Sheet1!$F$2:$N$100,8,False)</f>
        <v/>
      </c>
      <c r="I35" s="7" t="str">
        <f>VLOOKUP(B35,Sheet1!$F$2:$N$100,9,False)</f>
        <v/>
      </c>
      <c r="J35" s="8"/>
      <c r="K35" s="8"/>
      <c r="L35" s="8"/>
      <c r="M35" s="8"/>
      <c r="N35" s="8"/>
      <c r="O35" s="8"/>
      <c r="P35" s="8"/>
      <c r="Q35" s="8"/>
      <c r="R35" s="8"/>
      <c r="S35" s="8"/>
    </row>
    <row r="36" ht="12.75" customHeight="1">
      <c r="A36" s="4" t="s">
        <v>55</v>
      </c>
      <c r="B36" s="5" t="s">
        <v>56</v>
      </c>
      <c r="C36" s="4">
        <v>1.0</v>
      </c>
      <c r="D36" s="4"/>
      <c r="E36" s="4"/>
      <c r="F36" s="6" t="str">
        <f>VLOOKUP(B36,Sheet1!$F$2:$N$100,6,False)</f>
        <v/>
      </c>
      <c r="G36" s="7" t="str">
        <f>VLOOKUP(B36,Sheet1!$F$2:$N$100,7,False)</f>
        <v/>
      </c>
      <c r="H36" s="7" t="str">
        <f>VLOOKUP(B36,Sheet1!$F$2:$N$100,8,False)</f>
        <v/>
      </c>
      <c r="I36" s="7" t="str">
        <f>VLOOKUP(B36,Sheet1!$F$2:$N$100,9,False)</f>
        <v/>
      </c>
      <c r="J36" s="8"/>
      <c r="K36" s="8"/>
      <c r="L36" s="8"/>
      <c r="M36" s="8"/>
      <c r="N36" s="8"/>
      <c r="O36" s="8"/>
      <c r="P36" s="8"/>
      <c r="Q36" s="8"/>
      <c r="R36" s="8"/>
      <c r="S36" s="8"/>
    </row>
    <row r="37" ht="12.75" customHeight="1">
      <c r="A37" s="4" t="s">
        <v>9</v>
      </c>
      <c r="B37" s="5" t="s">
        <v>57</v>
      </c>
      <c r="C37" s="4">
        <v>1.0</v>
      </c>
      <c r="D37" s="4"/>
      <c r="E37" s="4"/>
      <c r="F37" s="6" t="str">
        <f>VLOOKUP(B37,Sheet1!$F$2:$N$100,6,False)</f>
        <v/>
      </c>
      <c r="G37" s="7" t="str">
        <f>VLOOKUP(B37,Sheet1!$F$2:$N$100,7,False)</f>
        <v/>
      </c>
      <c r="H37" s="7" t="str">
        <f>VLOOKUP(B37,Sheet1!$F$2:$N$100,8,False)</f>
        <v/>
      </c>
      <c r="I37" s="7" t="str">
        <f>VLOOKUP(B37,Sheet1!$F$2:$N$100,9,False)</f>
        <v/>
      </c>
      <c r="J37" s="8"/>
      <c r="K37" s="8"/>
      <c r="L37" s="8"/>
      <c r="M37" s="8"/>
      <c r="N37" s="8"/>
      <c r="O37" s="8"/>
      <c r="P37" s="8"/>
      <c r="Q37" s="8"/>
      <c r="R37" s="8"/>
      <c r="S37" s="8"/>
    </row>
    <row r="38" ht="12.75" customHeight="1">
      <c r="A38" s="4" t="s">
        <v>55</v>
      </c>
      <c r="B38" s="5" t="s">
        <v>58</v>
      </c>
      <c r="C38" s="4">
        <v>1.0</v>
      </c>
      <c r="D38" s="4"/>
      <c r="E38" s="4"/>
      <c r="F38" s="6" t="str">
        <f>VLOOKUP(B38,Sheet1!$F$2:$N$100,6,False)</f>
        <v>Murata Electronics</v>
      </c>
      <c r="G38" s="7" t="str">
        <f>VLOOKUP(B38,Sheet1!$F$2:$N$100,7,False)</f>
        <v> DFE201610E-4R7M=P2</v>
      </c>
      <c r="H38" s="7" t="str">
        <f>VLOOKUP(B38,Sheet1!$F$2:$N$100,8,False)</f>
        <v/>
      </c>
      <c r="I38" s="7" t="str">
        <f>VLOOKUP(B38,Sheet1!$F$2:$N$100,9,False)</f>
        <v/>
      </c>
      <c r="J38" s="8"/>
      <c r="K38" s="8"/>
      <c r="L38" s="8"/>
      <c r="M38" s="8"/>
      <c r="N38" s="8"/>
      <c r="O38" s="8"/>
      <c r="P38" s="8"/>
      <c r="Q38" s="8"/>
      <c r="R38" s="8"/>
      <c r="S38" s="8"/>
    </row>
    <row r="39" ht="12.75" customHeight="1">
      <c r="A39" s="4" t="s">
        <v>59</v>
      </c>
      <c r="B39" s="5" t="s">
        <v>60</v>
      </c>
      <c r="C39" s="4">
        <v>4.0</v>
      </c>
      <c r="D39" s="4"/>
      <c r="E39" s="4"/>
      <c r="F39" s="6" t="str">
        <f>VLOOKUP(B39,Sheet1!$F$2:$N$100,6,False)</f>
        <v/>
      </c>
      <c r="G39" s="7" t="str">
        <f>VLOOKUP(B39,Sheet1!$F$2:$N$100,7,False)</f>
        <v/>
      </c>
      <c r="H39" s="7" t="str">
        <f>VLOOKUP(B39,Sheet1!$F$2:$N$100,8,False)</f>
        <v/>
      </c>
      <c r="I39" s="7" t="str">
        <f>VLOOKUP(B39,Sheet1!$F$2:$N$100,9,False)</f>
        <v/>
      </c>
      <c r="J39" s="8"/>
      <c r="K39" s="8"/>
      <c r="L39" s="8"/>
      <c r="M39" s="8"/>
      <c r="N39" s="8"/>
      <c r="O39" s="8"/>
      <c r="P39" s="8"/>
      <c r="Q39" s="8"/>
      <c r="R39" s="8"/>
      <c r="S39" s="8"/>
    </row>
    <row r="40" ht="12.75" customHeight="1">
      <c r="A40" s="4" t="s">
        <v>61</v>
      </c>
      <c r="B40" s="5" t="s">
        <v>62</v>
      </c>
      <c r="C40" s="4">
        <v>1.0</v>
      </c>
      <c r="D40" s="4"/>
      <c r="E40" s="4"/>
      <c r="F40" s="6" t="str">
        <f>VLOOKUP(B40,Sheet1!$F$2:$N$100,6,False)</f>
        <v/>
      </c>
      <c r="G40" s="7" t="str">
        <f>VLOOKUP(B40,Sheet1!$F$2:$N$100,7,False)</f>
        <v/>
      </c>
      <c r="H40" s="7" t="str">
        <f>VLOOKUP(B40,Sheet1!$F$2:$N$100,8,False)</f>
        <v/>
      </c>
      <c r="I40" s="7" t="str">
        <f>VLOOKUP(B40,Sheet1!$F$2:$N$100,9,False)</f>
        <v/>
      </c>
      <c r="J40" s="8"/>
      <c r="K40" s="8"/>
      <c r="L40" s="8"/>
      <c r="M40" s="8"/>
      <c r="N40" s="8"/>
      <c r="O40" s="8"/>
      <c r="P40" s="8"/>
      <c r="Q40" s="8"/>
      <c r="R40" s="8"/>
      <c r="S40" s="8"/>
    </row>
    <row r="41" ht="12.75" customHeight="1">
      <c r="A41" s="4" t="s">
        <v>63</v>
      </c>
      <c r="B41" s="5" t="s">
        <v>64</v>
      </c>
      <c r="C41" s="4">
        <v>5.0</v>
      </c>
      <c r="D41" s="4"/>
      <c r="E41" s="4"/>
      <c r="F41" s="6" t="str">
        <f>VLOOKUP(B41,Sheet1!$F$2:$N$100,6,False)</f>
        <v/>
      </c>
      <c r="G41" s="7" t="str">
        <f>VLOOKUP(B41,Sheet1!$F$2:$N$100,7,False)</f>
        <v/>
      </c>
      <c r="H41" s="7" t="str">
        <f>VLOOKUP(B41,Sheet1!$F$2:$N$100,8,False)</f>
        <v/>
      </c>
      <c r="I41" s="7" t="str">
        <f>VLOOKUP(B41,Sheet1!$F$2:$N$100,9,False)</f>
        <v/>
      </c>
      <c r="J41" s="8"/>
      <c r="K41" s="8"/>
      <c r="L41" s="8"/>
      <c r="M41" s="8"/>
      <c r="N41" s="8"/>
      <c r="O41" s="8"/>
      <c r="P41" s="8"/>
      <c r="Q41" s="8"/>
      <c r="R41" s="8"/>
      <c r="S41" s="8"/>
    </row>
    <row r="42" ht="12.75" customHeight="1">
      <c r="A42" s="4" t="s">
        <v>65</v>
      </c>
      <c r="B42" s="5" t="s">
        <v>66</v>
      </c>
      <c r="C42" s="4">
        <v>1.0</v>
      </c>
      <c r="D42" s="4"/>
      <c r="E42" s="4"/>
      <c r="F42" s="6" t="str">
        <f>VLOOKUP(B42,Sheet1!$F$2:$N$100,6,False)</f>
        <v>Metz Connect USA</v>
      </c>
      <c r="G42" s="7" t="str">
        <f>VLOOKUP(B42,Sheet1!$F$2:$N$100,7,False)</f>
        <v>PM20B05VBDN</v>
      </c>
      <c r="H42" s="7" t="str">
        <f>VLOOKUP(B42,Sheet1!$F$2:$N$100,8,False)</f>
        <v/>
      </c>
      <c r="I42" s="7" t="str">
        <f>VLOOKUP(B42,Sheet1!$F$2:$N$100,9,False)</f>
        <v/>
      </c>
      <c r="J42" s="8"/>
      <c r="K42" s="8"/>
      <c r="L42" s="8"/>
      <c r="M42" s="8"/>
      <c r="N42" s="8"/>
      <c r="O42" s="8"/>
      <c r="P42" s="8"/>
      <c r="Q42" s="8"/>
      <c r="R42" s="8"/>
      <c r="S42" s="8"/>
    </row>
    <row r="43" ht="12.75" customHeight="1">
      <c r="A43" s="4" t="s">
        <v>67</v>
      </c>
      <c r="B43" s="5" t="s">
        <v>68</v>
      </c>
      <c r="C43" s="4">
        <v>1.0</v>
      </c>
      <c r="D43" s="4"/>
      <c r="E43" s="4"/>
      <c r="F43" s="6"/>
      <c r="G43" s="7"/>
      <c r="H43" s="7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ht="12.75" customHeight="1">
      <c r="A44" s="4" t="s">
        <v>69</v>
      </c>
      <c r="B44" s="5" t="s">
        <v>70</v>
      </c>
      <c r="C44" s="4">
        <v>10.0</v>
      </c>
      <c r="D44" s="4"/>
      <c r="E44" s="4"/>
      <c r="F44" s="6"/>
      <c r="G44" s="7"/>
      <c r="H44" s="7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ht="12.75" customHeight="1">
      <c r="A45" s="4" t="s">
        <v>69</v>
      </c>
      <c r="B45" s="5" t="s">
        <v>71</v>
      </c>
      <c r="C45" s="4">
        <v>2.0</v>
      </c>
      <c r="D45" s="4"/>
      <c r="E45" s="4"/>
      <c r="F45" s="6"/>
      <c r="G45" s="7"/>
      <c r="H45" s="7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ht="12.75" customHeight="1">
      <c r="A46" s="4" t="s">
        <v>69</v>
      </c>
      <c r="B46" s="5" t="s">
        <v>72</v>
      </c>
      <c r="C46" s="4">
        <v>6.0</v>
      </c>
      <c r="D46" s="4"/>
      <c r="E46" s="4"/>
      <c r="F46" s="6"/>
      <c r="G46" s="7"/>
      <c r="H46" s="7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ht="12.75" customHeight="1">
      <c r="A47" s="4" t="s">
        <v>69</v>
      </c>
      <c r="B47" s="5" t="s">
        <v>73</v>
      </c>
      <c r="C47" s="4">
        <v>6.0</v>
      </c>
      <c r="D47" s="4" t="s">
        <v>74</v>
      </c>
      <c r="E47" s="4" t="s">
        <v>75</v>
      </c>
      <c r="F47" s="6"/>
      <c r="G47" s="7"/>
      <c r="H47" s="7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ht="12.75" customHeight="1">
      <c r="A48" s="4" t="s">
        <v>69</v>
      </c>
      <c r="B48" s="5" t="s">
        <v>76</v>
      </c>
      <c r="C48" s="4">
        <v>2.0</v>
      </c>
      <c r="D48" s="4" t="s">
        <v>77</v>
      </c>
      <c r="E48" s="4" t="s">
        <v>78</v>
      </c>
      <c r="F48" s="6" t="str">
        <f>VLOOKUP(B48,Sheet1!$F$2:$N$100,6,False)</f>
        <v/>
      </c>
      <c r="G48" s="7" t="str">
        <f>VLOOKUP(B48,Sheet1!$F$2:$N$100,7,False)</f>
        <v/>
      </c>
      <c r="H48" s="7" t="str">
        <f>VLOOKUP(B48,Sheet1!$F$2:$N$100,8,False)</f>
        <v/>
      </c>
      <c r="I48" s="7" t="str">
        <f>VLOOKUP(B48,Sheet1!$F$2:$N$100,9,False)</f>
        <v/>
      </c>
      <c r="J48" s="8"/>
      <c r="K48" s="8"/>
      <c r="L48" s="8"/>
      <c r="M48" s="8"/>
      <c r="N48" s="8"/>
      <c r="O48" s="8"/>
      <c r="P48" s="8"/>
      <c r="Q48" s="8"/>
      <c r="R48" s="8"/>
      <c r="S48" s="8"/>
    </row>
    <row r="49" ht="12.75" customHeight="1">
      <c r="A49" s="4" t="s">
        <v>79</v>
      </c>
      <c r="B49" s="5" t="s">
        <v>80</v>
      </c>
      <c r="C49" s="4">
        <v>22.0</v>
      </c>
      <c r="D49" s="4"/>
      <c r="E49" s="4"/>
      <c r="F49" s="6" t="str">
        <f>VLOOKUP(B49,Sheet1!$F$2:$N$100,6,False)</f>
        <v>Panasonic</v>
      </c>
      <c r="G49" s="7" t="str">
        <f>VLOOKUP(B49,Sheet1!$F$2:$N$100,7,False)</f>
        <v>ERJ-HP6F4R70V</v>
      </c>
      <c r="H49" s="7" t="str">
        <f>VLOOKUP(B49,Sheet1!$F$2:$N$100,8,False)</f>
        <v/>
      </c>
      <c r="I49" s="7" t="str">
        <f>VLOOKUP(B49,Sheet1!$F$2:$N$100,9,False)</f>
        <v/>
      </c>
      <c r="J49" s="8"/>
      <c r="K49" s="8"/>
      <c r="L49" s="8"/>
      <c r="M49" s="8"/>
      <c r="N49" s="8"/>
      <c r="O49" s="8"/>
      <c r="P49" s="8"/>
      <c r="Q49" s="8"/>
      <c r="R49" s="8"/>
      <c r="S49" s="8"/>
    </row>
    <row r="50" ht="12.75" customHeight="1">
      <c r="A50" s="4" t="s">
        <v>81</v>
      </c>
      <c r="B50" s="5" t="s">
        <v>82</v>
      </c>
      <c r="C50" s="4">
        <v>16.0</v>
      </c>
      <c r="D50" s="4"/>
      <c r="E50" s="4"/>
      <c r="F50" s="6" t="str">
        <f>VLOOKUP(B50,Sheet1!$F$2:$N$100,6,False)</f>
        <v>KOA Speer</v>
      </c>
      <c r="G50" s="7" t="str">
        <f>VLOOKUP(B50,Sheet1!$F$2:$N$100,7,False)</f>
        <v>SG73P2BTTD220J</v>
      </c>
      <c r="H50" s="7" t="str">
        <f>VLOOKUP(B50,Sheet1!$F$2:$N$100,8,False)</f>
        <v/>
      </c>
      <c r="I50" s="7" t="str">
        <f>VLOOKUP(B50,Sheet1!$F$2:$N$100,9,False)</f>
        <v/>
      </c>
      <c r="J50" s="8"/>
      <c r="K50" s="8"/>
      <c r="L50" s="8"/>
      <c r="M50" s="8"/>
      <c r="N50" s="8"/>
      <c r="O50" s="8"/>
      <c r="P50" s="8"/>
      <c r="Q50" s="8"/>
      <c r="R50" s="8"/>
      <c r="S50" s="8"/>
    </row>
    <row r="51" ht="12.75" customHeight="1">
      <c r="A51" s="4" t="s">
        <v>79</v>
      </c>
      <c r="B51" s="5" t="s">
        <v>83</v>
      </c>
      <c r="C51" s="4">
        <v>6.0</v>
      </c>
      <c r="D51" s="4"/>
      <c r="E51" s="4"/>
      <c r="F51" s="6" t="str">
        <f>VLOOKUP(B51,Sheet1!$F$2:$N$100,6,False)</f>
        <v>Panasonic</v>
      </c>
      <c r="G51" s="7" t="str">
        <f>VLOOKUP(B51,Sheet1!$F$2:$N$100,7,False)</f>
        <v>ERJ-HP6F10R0V</v>
      </c>
      <c r="H51" s="7" t="str">
        <f>VLOOKUP(B51,Sheet1!$F$2:$N$100,8,False)</f>
        <v/>
      </c>
      <c r="I51" s="7" t="str">
        <f>VLOOKUP(B51,Sheet1!$F$2:$N$100,9,False)</f>
        <v/>
      </c>
      <c r="J51" s="8"/>
      <c r="K51" s="8"/>
      <c r="L51" s="8"/>
      <c r="M51" s="8"/>
      <c r="N51" s="8"/>
      <c r="O51" s="8"/>
      <c r="P51" s="8"/>
      <c r="Q51" s="8"/>
      <c r="R51" s="8"/>
      <c r="S51" s="8"/>
    </row>
    <row r="52" ht="12.75" customHeight="1">
      <c r="A52" s="4" t="s">
        <v>84</v>
      </c>
      <c r="B52" s="5" t="s">
        <v>85</v>
      </c>
      <c r="C52" s="4">
        <v>28.0</v>
      </c>
      <c r="D52" s="4"/>
      <c r="E52" s="4"/>
      <c r="F52" s="6" t="str">
        <f>VLOOKUP(B52,Sheet1!$F$2:$N$100,6,False)</f>
        <v>Panasonic</v>
      </c>
      <c r="G52" s="7" t="str">
        <f>VLOOKUP(B52,Sheet1!$F$2:$N$100,7,False)</f>
        <v>ERJ-2RKF1002X</v>
      </c>
      <c r="H52" s="7" t="str">
        <f>VLOOKUP(B52,Sheet1!$F$2:$N$100,8,False)</f>
        <v/>
      </c>
      <c r="I52" s="7" t="str">
        <f>VLOOKUP(B52,Sheet1!$F$2:$N$100,9,False)</f>
        <v/>
      </c>
      <c r="J52" s="8"/>
      <c r="K52" s="8"/>
      <c r="L52" s="8"/>
      <c r="M52" s="8"/>
      <c r="N52" s="8"/>
      <c r="O52" s="8"/>
      <c r="P52" s="8"/>
      <c r="Q52" s="8"/>
      <c r="R52" s="8"/>
      <c r="S52" s="8"/>
    </row>
    <row r="53" ht="12.75" customHeight="1">
      <c r="A53" s="4" t="s">
        <v>84</v>
      </c>
      <c r="B53" s="5" t="s">
        <v>86</v>
      </c>
      <c r="C53" s="4">
        <v>32.0</v>
      </c>
      <c r="D53" s="4"/>
      <c r="E53" s="4"/>
      <c r="F53" s="6" t="str">
        <f>VLOOKUP(B53,Sheet1!$F$2:$N$100,6,False)</f>
        <v>Panasonic</v>
      </c>
      <c r="G53" s="7" t="str">
        <f>VLOOKUP(B53,Sheet1!$F$2:$N$100,7,False)</f>
        <v>ERJ-2RKF1001X</v>
      </c>
      <c r="H53" s="7" t="str">
        <f>VLOOKUP(B53,Sheet1!$F$2:$N$100,8,False)</f>
        <v/>
      </c>
      <c r="I53" s="7" t="str">
        <f>VLOOKUP(B53,Sheet1!$F$2:$N$100,9,False)</f>
        <v/>
      </c>
      <c r="J53" s="8"/>
      <c r="K53" s="8"/>
      <c r="L53" s="8"/>
      <c r="M53" s="8"/>
      <c r="N53" s="8"/>
      <c r="O53" s="8"/>
      <c r="P53" s="8"/>
      <c r="Q53" s="8"/>
      <c r="R53" s="8"/>
      <c r="S53" s="8"/>
    </row>
    <row r="54" ht="12.75" customHeight="1">
      <c r="A54" s="4" t="s">
        <v>84</v>
      </c>
      <c r="B54" s="5" t="s">
        <v>87</v>
      </c>
      <c r="C54" s="4">
        <v>8.0</v>
      </c>
      <c r="D54" s="4"/>
      <c r="E54" s="4"/>
      <c r="F54" s="6" t="str">
        <f>VLOOKUP(B54,Sheet1!$F$2:$N$100,6,False)</f>
        <v>Panasonic</v>
      </c>
      <c r="G54" s="7" t="str">
        <f>VLOOKUP(B54,Sheet1!$F$2:$N$100,7,False)</f>
        <v>ERJ-2RKF1000X</v>
      </c>
      <c r="H54" s="7" t="str">
        <f>VLOOKUP(B54,Sheet1!$F$2:$N$100,8,False)</f>
        <v/>
      </c>
      <c r="I54" s="7" t="str">
        <f>VLOOKUP(B54,Sheet1!$F$2:$N$100,9,False)</f>
        <v/>
      </c>
      <c r="J54" s="8"/>
      <c r="K54" s="8"/>
      <c r="L54" s="8"/>
      <c r="M54" s="8"/>
      <c r="N54" s="8"/>
      <c r="O54" s="8"/>
      <c r="P54" s="8"/>
      <c r="Q54" s="8"/>
      <c r="R54" s="8"/>
      <c r="S54" s="8"/>
    </row>
    <row r="55" ht="12.75" customHeight="1">
      <c r="A55" s="4" t="s">
        <v>36</v>
      </c>
      <c r="B55" s="5" t="s">
        <v>88</v>
      </c>
      <c r="C55" s="4">
        <v>4.0</v>
      </c>
      <c r="D55" s="4"/>
      <c r="E55" s="4"/>
      <c r="F55" s="6" t="str">
        <f>VLOOKUP(B55,Sheet1!$F$2:$N$100,6,False)</f>
        <v>Panasonic</v>
      </c>
      <c r="G55" s="7" t="str">
        <f>VLOOKUP(B55,Sheet1!$F$2:$N$100,7,False)</f>
        <v>ERJ-6ENF39R0V</v>
      </c>
      <c r="H55" s="7" t="str">
        <f>VLOOKUP(B55,Sheet1!$F$2:$N$100,8,False)</f>
        <v>Stackpole</v>
      </c>
      <c r="I55" s="7" t="str">
        <f>VLOOKUP(B55,Sheet1!$F$2:$N$100,9,False)</f>
        <v>RMCF0805FT39R0</v>
      </c>
      <c r="J55" s="8"/>
      <c r="K55" s="8"/>
      <c r="L55" s="8"/>
      <c r="M55" s="8"/>
      <c r="N55" s="8"/>
      <c r="O55" s="8"/>
      <c r="P55" s="8"/>
      <c r="Q55" s="8"/>
      <c r="R55" s="8"/>
      <c r="S55" s="8"/>
    </row>
    <row r="56" ht="12.75" customHeight="1">
      <c r="A56" s="4" t="s">
        <v>84</v>
      </c>
      <c r="B56" s="5" t="s">
        <v>89</v>
      </c>
      <c r="C56" s="4">
        <v>2.0</v>
      </c>
      <c r="D56" s="4" t="s">
        <v>90</v>
      </c>
      <c r="E56" s="4" t="s">
        <v>91</v>
      </c>
      <c r="F56" s="6" t="str">
        <f>VLOOKUP(B56,Sheet1!$F$2:$N$100,6,False)</f>
        <v>Panasonic</v>
      </c>
      <c r="G56" s="7" t="str">
        <f>VLOOKUP(B56,Sheet1!$F$2:$N$100,7,False)</f>
        <v>ERJ-6ENF1503V</v>
      </c>
      <c r="H56" s="7" t="str">
        <f>VLOOKUP(B56,Sheet1!$F$2:$N$100,8,False)</f>
        <v/>
      </c>
      <c r="I56" s="7" t="str">
        <f>VLOOKUP(B56,Sheet1!$F$2:$N$100,9,False)</f>
        <v/>
      </c>
      <c r="J56" s="8"/>
      <c r="K56" s="8"/>
      <c r="L56" s="8"/>
      <c r="M56" s="8"/>
      <c r="N56" s="8"/>
      <c r="O56" s="8"/>
      <c r="P56" s="8"/>
      <c r="Q56" s="8"/>
      <c r="R56" s="8"/>
      <c r="S56" s="8"/>
    </row>
    <row r="57" ht="12.75" customHeight="1">
      <c r="A57" s="4" t="s">
        <v>84</v>
      </c>
      <c r="B57" s="5" t="s">
        <v>92</v>
      </c>
      <c r="C57" s="4">
        <v>5.0</v>
      </c>
      <c r="D57" s="4"/>
      <c r="E57" s="4"/>
      <c r="F57" s="6" t="str">
        <f>VLOOKUP(B57,Sheet1!$F$2:$N$100,6,False)</f>
        <v>Panasonic</v>
      </c>
      <c r="G57" s="7" t="str">
        <f>VLOOKUP(B57,Sheet1!$F$2:$N$100,7,False)</f>
        <v>ERJ-2RKF4702X</v>
      </c>
      <c r="H57" s="7" t="str">
        <f>VLOOKUP(B57,Sheet1!$F$2:$N$100,8,False)</f>
        <v/>
      </c>
      <c r="I57" s="7" t="str">
        <f>VLOOKUP(B57,Sheet1!$F$2:$N$100,9,False)</f>
        <v/>
      </c>
      <c r="J57" s="8"/>
      <c r="K57" s="8"/>
      <c r="L57" s="8"/>
      <c r="M57" s="8"/>
      <c r="N57" s="8"/>
      <c r="O57" s="8"/>
      <c r="P57" s="8"/>
      <c r="Q57" s="8"/>
      <c r="R57" s="8"/>
      <c r="S57" s="8"/>
    </row>
    <row r="58" ht="12.75" customHeight="1">
      <c r="A58" s="4" t="s">
        <v>84</v>
      </c>
      <c r="B58" s="5" t="s">
        <v>93</v>
      </c>
      <c r="C58" s="4">
        <v>3.0</v>
      </c>
      <c r="D58" s="4"/>
      <c r="E58" s="4"/>
      <c r="F58" s="6" t="str">
        <f>VLOOKUP(B58,Sheet1!$F$2:$N$100,6,False)</f>
        <v>Panasonic</v>
      </c>
      <c r="G58" s="7" t="str">
        <f>VLOOKUP(B58,Sheet1!$F$2:$N$100,7,False)</f>
        <v>ERJ-2RKF2201X</v>
      </c>
      <c r="H58" s="7" t="str">
        <f>VLOOKUP(B58,Sheet1!$F$2:$N$100,8,False)</f>
        <v/>
      </c>
      <c r="I58" s="7" t="str">
        <f>VLOOKUP(B58,Sheet1!$F$2:$N$100,9,False)</f>
        <v/>
      </c>
      <c r="J58" s="8"/>
      <c r="K58" s="8"/>
      <c r="L58" s="8"/>
      <c r="M58" s="8"/>
      <c r="N58" s="8"/>
      <c r="O58" s="8"/>
      <c r="P58" s="8"/>
      <c r="Q58" s="8"/>
      <c r="R58" s="8"/>
      <c r="S58" s="8"/>
    </row>
    <row r="59" ht="12.75" customHeight="1">
      <c r="A59" s="4" t="s">
        <v>84</v>
      </c>
      <c r="B59" s="5" t="s">
        <v>94</v>
      </c>
      <c r="C59" s="4">
        <v>41.0</v>
      </c>
      <c r="D59" s="4"/>
      <c r="E59" s="4"/>
      <c r="F59" s="6" t="str">
        <f>VLOOKUP(B59,Sheet1!$F$2:$N$100,6,False)</f>
        <v>Panasonic</v>
      </c>
      <c r="G59" s="7" t="str">
        <f>VLOOKUP(B59,Sheet1!$F$2:$N$100,7,False)</f>
        <v>ERJ-2RKF49R9X</v>
      </c>
      <c r="H59" s="7" t="str">
        <f>VLOOKUP(B59,Sheet1!$F$2:$N$100,8,False)</f>
        <v/>
      </c>
      <c r="I59" s="7" t="str">
        <f>VLOOKUP(B59,Sheet1!$F$2:$N$100,9,False)</f>
        <v/>
      </c>
      <c r="J59" s="8"/>
      <c r="K59" s="8"/>
      <c r="L59" s="8"/>
      <c r="M59" s="8"/>
      <c r="N59" s="8"/>
      <c r="O59" s="8"/>
      <c r="P59" s="8"/>
      <c r="Q59" s="8"/>
      <c r="R59" s="8"/>
      <c r="S59" s="8"/>
    </row>
    <row r="60" ht="12.75" customHeight="1">
      <c r="A60" s="4" t="s">
        <v>84</v>
      </c>
      <c r="B60" s="5" t="s">
        <v>95</v>
      </c>
      <c r="C60" s="4">
        <v>15.0</v>
      </c>
      <c r="D60" s="4"/>
      <c r="E60" s="4"/>
      <c r="F60" s="6" t="str">
        <f>VLOOKUP(B60,Sheet1!$F$2:$N$100,6,False)</f>
        <v>Panasonic</v>
      </c>
      <c r="G60" s="7" t="str">
        <f>VLOOKUP(B60,Sheet1!$F$2:$N$100,7,False)</f>
        <v>ERJ-2GE0R00X</v>
      </c>
      <c r="H60" s="7" t="str">
        <f>VLOOKUP(B60,Sheet1!$F$2:$N$100,8,False)</f>
        <v/>
      </c>
      <c r="I60" s="7" t="str">
        <f>VLOOKUP(B60,Sheet1!$F$2:$N$100,9,False)</f>
        <v/>
      </c>
      <c r="J60" s="8"/>
      <c r="K60" s="8"/>
      <c r="L60" s="8"/>
      <c r="M60" s="8"/>
      <c r="N60" s="8"/>
      <c r="O60" s="8"/>
      <c r="P60" s="8"/>
      <c r="Q60" s="8"/>
      <c r="R60" s="8"/>
      <c r="S60" s="8"/>
    </row>
    <row r="61" ht="12.75" customHeight="1">
      <c r="A61" s="4" t="s">
        <v>84</v>
      </c>
      <c r="B61" s="5" t="s">
        <v>96</v>
      </c>
      <c r="C61" s="4">
        <v>27.0</v>
      </c>
      <c r="D61" s="4" t="s">
        <v>97</v>
      </c>
      <c r="E61" s="4" t="s">
        <v>98</v>
      </c>
      <c r="F61" s="6" t="str">
        <f>VLOOKUP(B61,Sheet1!$F$2:$N$100,6,False)</f>
        <v>Panasonic</v>
      </c>
      <c r="G61" s="7" t="str">
        <f>VLOOKUP(B61,Sheet1!$F$2:$N$100,7,False)</f>
        <v>ERJ-2RKF1003X</v>
      </c>
      <c r="H61" s="7" t="str">
        <f>VLOOKUP(B61,Sheet1!$F$2:$N$100,8,False)</f>
        <v/>
      </c>
      <c r="I61" s="7" t="str">
        <f>VLOOKUP(B61,Sheet1!$F$2:$N$100,9,False)</f>
        <v/>
      </c>
      <c r="J61" s="8"/>
      <c r="K61" s="8"/>
      <c r="L61" s="8"/>
      <c r="M61" s="8"/>
      <c r="N61" s="8"/>
      <c r="O61" s="8"/>
      <c r="P61" s="8"/>
      <c r="Q61" s="8"/>
      <c r="R61" s="8"/>
      <c r="S61" s="8"/>
    </row>
    <row r="62" ht="12.75" customHeight="1">
      <c r="A62" s="4" t="s">
        <v>84</v>
      </c>
      <c r="B62" s="5" t="s">
        <v>99</v>
      </c>
      <c r="C62" s="4">
        <v>8.0</v>
      </c>
      <c r="D62" s="4" t="s">
        <v>97</v>
      </c>
      <c r="E62" s="4" t="s">
        <v>100</v>
      </c>
      <c r="F62" s="6" t="str">
        <f>VLOOKUP(B62,Sheet1!$F$2:$N$100,6,False)</f>
        <v>Panasonic</v>
      </c>
      <c r="G62" s="7" t="str">
        <f>VLOOKUP(B62,Sheet1!$F$2:$N$100,7,False)</f>
        <v>ERJ-2RKF1004X</v>
      </c>
      <c r="H62" s="7" t="str">
        <f>VLOOKUP(B62,Sheet1!$F$2:$N$100,8,False)</f>
        <v/>
      </c>
      <c r="I62" s="7" t="str">
        <f>VLOOKUP(B62,Sheet1!$F$2:$N$100,9,False)</f>
        <v/>
      </c>
      <c r="J62" s="8"/>
      <c r="K62" s="8"/>
      <c r="L62" s="8"/>
      <c r="M62" s="8"/>
      <c r="N62" s="8"/>
      <c r="O62" s="8"/>
      <c r="P62" s="8"/>
      <c r="Q62" s="8"/>
      <c r="R62" s="8"/>
      <c r="S62" s="8"/>
    </row>
    <row r="63" ht="12.75" customHeight="1">
      <c r="A63" s="4" t="s">
        <v>84</v>
      </c>
      <c r="B63" s="5" t="s">
        <v>101</v>
      </c>
      <c r="C63" s="4">
        <v>2.0</v>
      </c>
      <c r="D63" s="4" t="s">
        <v>97</v>
      </c>
      <c r="E63" s="4" t="s">
        <v>102</v>
      </c>
      <c r="F63" s="6" t="str">
        <f>VLOOKUP(B63,Sheet1!$F$2:$N$100,6,False)</f>
        <v>Panasonic</v>
      </c>
      <c r="G63" s="7" t="str">
        <f>VLOOKUP(B63,Sheet1!$F$2:$N$100,7,False)</f>
        <v>ERJ-3EKF1003V</v>
      </c>
      <c r="H63" s="7" t="str">
        <f>VLOOKUP(B63,Sheet1!$F$2:$N$100,8,False)</f>
        <v/>
      </c>
      <c r="I63" s="7" t="str">
        <f>VLOOKUP(B63,Sheet1!$F$2:$N$100,9,False)</f>
        <v/>
      </c>
      <c r="J63" s="8"/>
      <c r="K63" s="8"/>
      <c r="L63" s="8"/>
      <c r="M63" s="8"/>
      <c r="N63" s="8"/>
      <c r="O63" s="8"/>
      <c r="P63" s="8"/>
      <c r="Q63" s="8"/>
      <c r="R63" s="8"/>
      <c r="S63" s="8"/>
    </row>
    <row r="64" ht="12.75" customHeight="1">
      <c r="A64" s="4" t="s">
        <v>55</v>
      </c>
      <c r="B64" s="5" t="s">
        <v>103</v>
      </c>
      <c r="C64" s="4">
        <v>1.0</v>
      </c>
      <c r="D64" s="4"/>
      <c r="E64" s="4"/>
      <c r="F64" s="6" t="str">
        <f>VLOOKUP(B64,Sheet1!$F$2:$N$100,6,False)</f>
        <v/>
      </c>
      <c r="G64" s="7" t="str">
        <f>VLOOKUP(B64,Sheet1!$F$2:$N$100,7,False)</f>
        <v/>
      </c>
      <c r="H64" s="7" t="str">
        <f>VLOOKUP(B64,Sheet1!$F$2:$N$100,8,False)</f>
        <v/>
      </c>
      <c r="I64" s="7" t="str">
        <f>VLOOKUP(B64,Sheet1!$F$2:$N$100,9,False)</f>
        <v/>
      </c>
      <c r="J64" s="8"/>
      <c r="K64" s="8"/>
      <c r="L64" s="8"/>
      <c r="M64" s="8"/>
      <c r="N64" s="8"/>
      <c r="O64" s="8"/>
      <c r="P64" s="8"/>
      <c r="Q64" s="8"/>
      <c r="R64" s="8"/>
      <c r="S64" s="8"/>
    </row>
    <row r="65" ht="12.75" customHeight="1">
      <c r="A65" s="4" t="s">
        <v>104</v>
      </c>
      <c r="B65" s="5" t="s">
        <v>105</v>
      </c>
      <c r="C65" s="4">
        <v>1.0</v>
      </c>
      <c r="D65" s="4"/>
      <c r="E65" s="4"/>
      <c r="F65" s="6" t="str">
        <f>VLOOKUP(B65,Sheet1!$F$2:$N$100,6,False)</f>
        <v>Panasonic</v>
      </c>
      <c r="G65" s="7" t="str">
        <f>VLOOKUP(B65,Sheet1!$F$2:$N$100,7,False)</f>
        <v>ERJ-3EKF9103V</v>
      </c>
      <c r="H65" s="7" t="str">
        <f>VLOOKUP(B65,Sheet1!$F$2:$N$100,8,False)</f>
        <v/>
      </c>
      <c r="I65" s="7" t="str">
        <f>VLOOKUP(B65,Sheet1!$F$2:$N$100,9,False)</f>
        <v/>
      </c>
      <c r="J65" s="8"/>
      <c r="K65" s="8"/>
      <c r="L65" s="8"/>
      <c r="M65" s="8"/>
      <c r="N65" s="8"/>
      <c r="O65" s="8"/>
      <c r="P65" s="8"/>
      <c r="Q65" s="8"/>
      <c r="R65" s="8"/>
      <c r="S65" s="8"/>
    </row>
    <row r="66" ht="12.75" customHeight="1">
      <c r="A66" s="4" t="s">
        <v>84</v>
      </c>
      <c r="B66" s="5" t="s">
        <v>106</v>
      </c>
      <c r="C66" s="4">
        <v>4.0</v>
      </c>
      <c r="D66" s="4"/>
      <c r="E66" s="4"/>
      <c r="F66" s="6" t="str">
        <f>VLOOKUP(B66,Sheet1!$F$2:$N$100,6,False)</f>
        <v>Panasonic</v>
      </c>
      <c r="G66" s="7" t="str">
        <f>VLOOKUP(B66,Sheet1!$F$2:$N$100,7,False)</f>
        <v>ERJ-2RKF4701X</v>
      </c>
      <c r="H66" s="7" t="str">
        <f>VLOOKUP(B66,Sheet1!$F$2:$N$100,8,False)</f>
        <v/>
      </c>
      <c r="I66" s="7" t="str">
        <f>VLOOKUP(B66,Sheet1!$F$2:$N$100,9,False)</f>
        <v/>
      </c>
      <c r="J66" s="8"/>
      <c r="K66" s="8"/>
      <c r="L66" s="8"/>
      <c r="M66" s="8"/>
      <c r="N66" s="8"/>
      <c r="O66" s="8"/>
      <c r="P66" s="8"/>
      <c r="Q66" s="8"/>
      <c r="R66" s="8"/>
      <c r="S66" s="8"/>
    </row>
    <row r="67" ht="12.75" customHeight="1">
      <c r="A67" s="4" t="s">
        <v>81</v>
      </c>
      <c r="B67" s="5" t="s">
        <v>107</v>
      </c>
      <c r="C67" s="4">
        <v>7.0</v>
      </c>
      <c r="D67" s="4"/>
      <c r="E67" s="4"/>
      <c r="F67" s="6" t="str">
        <f>VLOOKUP(B67,Sheet1!$F$2:$N$100,6,False)</f>
        <v>KOA Speer</v>
      </c>
      <c r="G67" s="7" t="str">
        <f>VLOOKUP(B67,Sheet1!$F$2:$N$100,7,False)</f>
        <v>SG73P1JTTD220J</v>
      </c>
      <c r="H67" s="7" t="str">
        <f>VLOOKUP(B67,Sheet1!$F$2:$N$100,8,False)</f>
        <v/>
      </c>
      <c r="I67" s="7" t="str">
        <f>VLOOKUP(B67,Sheet1!$F$2:$N$100,9,False)</f>
        <v/>
      </c>
      <c r="J67" s="8"/>
      <c r="K67" s="8"/>
      <c r="L67" s="8"/>
      <c r="M67" s="8"/>
      <c r="N67" s="8"/>
      <c r="O67" s="8"/>
      <c r="P67" s="8"/>
      <c r="Q67" s="8"/>
      <c r="R67" s="8"/>
      <c r="S67" s="8"/>
    </row>
    <row r="68" ht="12.75" customHeight="1">
      <c r="A68" s="4" t="s">
        <v>108</v>
      </c>
      <c r="B68" s="5" t="s">
        <v>109</v>
      </c>
      <c r="C68" s="4">
        <v>1.0</v>
      </c>
      <c r="D68" s="4"/>
      <c r="E68" s="4"/>
      <c r="F68" s="6" t="str">
        <f>VLOOKUP(B68,Sheet1!$F$2:$N$100,6,False)</f>
        <v/>
      </c>
      <c r="G68" s="7" t="str">
        <f>VLOOKUP(B68,Sheet1!$F$2:$N$100,7,False)</f>
        <v/>
      </c>
      <c r="H68" s="7" t="str">
        <f>VLOOKUP(B68,Sheet1!$F$2:$N$100,8,False)</f>
        <v/>
      </c>
      <c r="I68" s="7" t="str">
        <f>VLOOKUP(B68,Sheet1!$F$2:$N$100,9,False)</f>
        <v/>
      </c>
      <c r="J68" s="8"/>
      <c r="K68" s="8"/>
      <c r="L68" s="8"/>
      <c r="M68" s="8"/>
      <c r="N68" s="8"/>
      <c r="O68" s="8"/>
      <c r="P68" s="8"/>
      <c r="Q68" s="8"/>
      <c r="R68" s="8"/>
      <c r="S68" s="8"/>
    </row>
    <row r="69" ht="12.75" customHeight="1">
      <c r="A69" s="4" t="s">
        <v>81</v>
      </c>
      <c r="B69" s="5" t="s">
        <v>110</v>
      </c>
      <c r="C69" s="4">
        <v>1.0</v>
      </c>
      <c r="D69" s="4"/>
      <c r="E69" s="4"/>
      <c r="F69" s="6" t="str">
        <f>VLOOKUP(B69,Sheet1!$F$2:$N$100,6,False)</f>
        <v>KOA Speer</v>
      </c>
      <c r="G69" s="7" t="str">
        <f>VLOOKUP(B69,Sheet1!$F$2:$N$100,7,False)</f>
        <v>SG73P2ATTD102J</v>
      </c>
      <c r="H69" s="7" t="str">
        <f>VLOOKUP(B69,Sheet1!$F$2:$N$100,8,False)</f>
        <v/>
      </c>
      <c r="I69" s="7" t="str">
        <f>VLOOKUP(B69,Sheet1!$F$2:$N$100,9,False)</f>
        <v/>
      </c>
      <c r="J69" s="8"/>
      <c r="K69" s="8"/>
      <c r="L69" s="8"/>
      <c r="M69" s="8"/>
      <c r="N69" s="8"/>
      <c r="O69" s="8"/>
      <c r="P69" s="8"/>
      <c r="Q69" s="8"/>
      <c r="R69" s="8"/>
      <c r="S69" s="8"/>
    </row>
    <row r="70" ht="12.75" customHeight="1">
      <c r="A70" s="4" t="s">
        <v>84</v>
      </c>
      <c r="B70" s="5" t="s">
        <v>111</v>
      </c>
      <c r="C70" s="4">
        <v>2.0</v>
      </c>
      <c r="D70" s="4"/>
      <c r="E70" s="4"/>
      <c r="F70" s="6" t="str">
        <f>VLOOKUP(B70,Sheet1!$F$2:$N$100,6,False)</f>
        <v/>
      </c>
      <c r="G70" s="7" t="str">
        <f>VLOOKUP(B70,Sheet1!$F$2:$N$100,7,False)</f>
        <v/>
      </c>
      <c r="H70" s="7" t="str">
        <f>VLOOKUP(B70,Sheet1!$F$2:$N$100,8,False)</f>
        <v/>
      </c>
      <c r="I70" s="7" t="str">
        <f>VLOOKUP(B70,Sheet1!$F$2:$N$100,9,False)</f>
        <v/>
      </c>
      <c r="J70" s="8"/>
      <c r="K70" s="8"/>
      <c r="L70" s="8"/>
      <c r="M70" s="8"/>
      <c r="N70" s="8"/>
      <c r="O70" s="8"/>
      <c r="P70" s="8"/>
      <c r="Q70" s="8"/>
      <c r="R70" s="8"/>
      <c r="S70" s="8"/>
    </row>
    <row r="71" ht="12.75" customHeight="1">
      <c r="A71" s="4" t="s">
        <v>84</v>
      </c>
      <c r="B71" s="5" t="s">
        <v>112</v>
      </c>
      <c r="C71" s="4">
        <v>3.0</v>
      </c>
      <c r="D71" s="4" t="s">
        <v>97</v>
      </c>
      <c r="E71" s="4" t="s">
        <v>113</v>
      </c>
      <c r="F71" s="6" t="str">
        <f>VLOOKUP(B71,Sheet1!$F$2:$N$100,6,False)</f>
        <v>Panasonic</v>
      </c>
      <c r="G71" s="7" t="str">
        <f>VLOOKUP(B71,Sheet1!$F$2:$N$100,7,False)</f>
        <v>ERJ-2RKF3302X</v>
      </c>
      <c r="H71" s="7" t="str">
        <f>VLOOKUP(B71,Sheet1!$F$2:$N$100,8,False)</f>
        <v/>
      </c>
      <c r="I71" s="7" t="str">
        <f>VLOOKUP(B71,Sheet1!$F$2:$N$100,9,False)</f>
        <v/>
      </c>
      <c r="J71" s="8"/>
      <c r="K71" s="8"/>
      <c r="L71" s="8"/>
      <c r="M71" s="8"/>
      <c r="N71" s="8"/>
      <c r="O71" s="8"/>
      <c r="P71" s="8"/>
      <c r="Q71" s="8"/>
      <c r="R71" s="8"/>
      <c r="S71" s="8"/>
    </row>
    <row r="72" ht="12.75" customHeight="1">
      <c r="A72" s="4" t="s">
        <v>84</v>
      </c>
      <c r="B72" s="5" t="s">
        <v>114</v>
      </c>
      <c r="C72" s="4">
        <v>2.0</v>
      </c>
      <c r="D72" s="4"/>
      <c r="E72" s="4"/>
      <c r="F72" s="6" t="str">
        <f>VLOOKUP(B72,Sheet1!$F$2:$N$100,6,False)</f>
        <v>Panasonic</v>
      </c>
      <c r="G72" s="7" t="str">
        <f>VLOOKUP(B72,Sheet1!$F$2:$N$100,7,False)</f>
        <v>ERJ-6ENF4703V</v>
      </c>
      <c r="H72" s="7" t="str">
        <f>VLOOKUP(B72,Sheet1!$F$2:$N$100,8,False)</f>
        <v/>
      </c>
      <c r="I72" s="7" t="str">
        <f>VLOOKUP(B72,Sheet1!$F$2:$N$100,9,False)</f>
        <v/>
      </c>
      <c r="J72" s="8"/>
      <c r="K72" s="8"/>
      <c r="L72" s="8"/>
      <c r="M72" s="8"/>
      <c r="N72" s="8"/>
      <c r="O72" s="8"/>
      <c r="P72" s="8"/>
      <c r="Q72" s="8"/>
      <c r="R72" s="8"/>
      <c r="S72" s="8"/>
    </row>
    <row r="73" ht="12.75" customHeight="1">
      <c r="A73" s="4" t="s">
        <v>84</v>
      </c>
      <c r="B73" s="5" t="s">
        <v>115</v>
      </c>
      <c r="C73" s="4">
        <v>1.0</v>
      </c>
      <c r="D73" s="4"/>
      <c r="E73" s="4"/>
      <c r="F73" s="6" t="str">
        <f>VLOOKUP(B73,Sheet1!$F$2:$N$100,6,False)</f>
        <v>Panasonic</v>
      </c>
      <c r="G73" s="7" t="str">
        <f>VLOOKUP(B73,Sheet1!$F$2:$N$100,7,False)</f>
        <v>ERJ-2RKF2202X</v>
      </c>
      <c r="H73" s="7" t="str">
        <f>VLOOKUP(B73,Sheet1!$F$2:$N$100,8,False)</f>
        <v/>
      </c>
      <c r="I73" s="7" t="str">
        <f>VLOOKUP(B73,Sheet1!$F$2:$N$100,9,False)</f>
        <v/>
      </c>
      <c r="J73" s="8"/>
      <c r="K73" s="8"/>
      <c r="L73" s="8"/>
      <c r="M73" s="8"/>
      <c r="N73" s="8"/>
      <c r="O73" s="8"/>
      <c r="P73" s="8"/>
      <c r="Q73" s="8"/>
      <c r="R73" s="8"/>
      <c r="S73" s="8"/>
    </row>
    <row r="74" ht="12.75" customHeight="1">
      <c r="A74" s="4" t="s">
        <v>84</v>
      </c>
      <c r="B74" s="5" t="s">
        <v>116</v>
      </c>
      <c r="C74" s="4">
        <v>3.0</v>
      </c>
      <c r="D74" s="4"/>
      <c r="E74" s="4"/>
      <c r="F74" s="6" t="str">
        <f>VLOOKUP(B74,Sheet1!$F$2:$N$100,6,False)</f>
        <v>Panasonic</v>
      </c>
      <c r="G74" s="7" t="str">
        <f>VLOOKUP(B74,Sheet1!$F$2:$N$100,7,False)</f>
        <v>ERJ-2RKF2203X</v>
      </c>
      <c r="H74" s="7" t="str">
        <f>VLOOKUP(B74,Sheet1!$F$2:$N$100,8,False)</f>
        <v/>
      </c>
      <c r="I74" s="7" t="str">
        <f>VLOOKUP(B74,Sheet1!$F$2:$N$100,9,False)</f>
        <v/>
      </c>
      <c r="J74" s="8"/>
      <c r="K74" s="8"/>
      <c r="L74" s="8"/>
      <c r="M74" s="8"/>
      <c r="N74" s="8"/>
      <c r="O74" s="8"/>
      <c r="P74" s="8"/>
      <c r="Q74" s="8"/>
      <c r="R74" s="8"/>
      <c r="S74" s="8"/>
    </row>
    <row r="75" ht="12.75" customHeight="1">
      <c r="A75" s="4" t="s">
        <v>26</v>
      </c>
      <c r="B75" s="5" t="s">
        <v>117</v>
      </c>
      <c r="C75" s="4">
        <v>1.0</v>
      </c>
      <c r="D75" s="4"/>
      <c r="E75" s="4"/>
      <c r="F75" s="6" t="str">
        <f>VLOOKUP(B75,Sheet1!$F$2:$N$100,6,False)</f>
        <v>Panasonic</v>
      </c>
      <c r="G75" s="7" t="str">
        <f>VLOOKUP(B75,Sheet1!$F$2:$N$100,7,False)</f>
        <v>ERJ-3RQFR47V</v>
      </c>
      <c r="H75" s="7" t="str">
        <f>VLOOKUP(B75,Sheet1!$F$2:$N$100,8,False)</f>
        <v>Stackpole</v>
      </c>
      <c r="I75" s="7" t="str">
        <f>VLOOKUP(B75,Sheet1!$F$2:$N$100,9,False)</f>
        <v>RMCF0603JTR470</v>
      </c>
      <c r="J75" s="8"/>
      <c r="K75" s="8"/>
      <c r="L75" s="8"/>
      <c r="M75" s="8"/>
      <c r="N75" s="8"/>
      <c r="O75" s="8"/>
      <c r="P75" s="8"/>
      <c r="Q75" s="8"/>
      <c r="R75" s="8"/>
      <c r="S75" s="8"/>
    </row>
    <row r="76" ht="12.75" customHeight="1">
      <c r="A76" s="4" t="s">
        <v>84</v>
      </c>
      <c r="B76" s="5" t="s">
        <v>118</v>
      </c>
      <c r="C76" s="4">
        <v>3.0</v>
      </c>
      <c r="D76" s="4"/>
      <c r="E76" s="4"/>
      <c r="F76" s="6" t="str">
        <f>VLOOKUP(B76,Sheet1!$F$2:$N$100,6,False)</f>
        <v/>
      </c>
      <c r="G76" s="7" t="str">
        <f>VLOOKUP(B76,Sheet1!$F$2:$N$100,7,False)</f>
        <v/>
      </c>
      <c r="H76" s="7" t="str">
        <f>VLOOKUP(B76,Sheet1!$F$2:$N$100,8,False)</f>
        <v/>
      </c>
      <c r="I76" s="7" t="str">
        <f>VLOOKUP(B76,Sheet1!$F$2:$N$100,9,False)</f>
        <v/>
      </c>
      <c r="J76" s="8"/>
      <c r="K76" s="8"/>
      <c r="L76" s="8"/>
      <c r="M76" s="8"/>
      <c r="N76" s="8"/>
      <c r="O76" s="8"/>
      <c r="P76" s="8"/>
      <c r="Q76" s="8"/>
      <c r="R76" s="8"/>
      <c r="S76" s="8"/>
    </row>
    <row r="77" ht="12.75" customHeight="1">
      <c r="A77" s="4" t="s">
        <v>119</v>
      </c>
      <c r="B77" s="5" t="s">
        <v>120</v>
      </c>
      <c r="C77" s="4">
        <v>5.0</v>
      </c>
      <c r="D77" s="4"/>
      <c r="E77" s="4"/>
      <c r="F77" s="6" t="str">
        <f>VLOOKUP(B77,Sheet1!$F$2:$N$100,6,False)</f>
        <v>Stackpole</v>
      </c>
      <c r="G77" s="7" t="str">
        <f>VLOOKUP(B77,Sheet1!$F$2:$N$100,7,False)</f>
        <v>CSRT2512FT2R20</v>
      </c>
      <c r="H77" s="7" t="str">
        <f>VLOOKUP(B77,Sheet1!$F$2:$N$100,8,False)</f>
        <v/>
      </c>
      <c r="I77" s="7" t="str">
        <f>VLOOKUP(B77,Sheet1!$F$2:$N$100,9,False)</f>
        <v/>
      </c>
      <c r="J77" s="8"/>
      <c r="K77" s="8"/>
      <c r="L77" s="8"/>
      <c r="M77" s="8"/>
      <c r="N77" s="8"/>
      <c r="O77" s="8"/>
      <c r="P77" s="8"/>
      <c r="Q77" s="8"/>
      <c r="R77" s="8"/>
      <c r="S77" s="8"/>
    </row>
    <row r="78" ht="12.75" customHeight="1">
      <c r="A78" s="4" t="s">
        <v>9</v>
      </c>
      <c r="B78" s="5" t="s">
        <v>121</v>
      </c>
      <c r="C78" s="4">
        <v>3.0</v>
      </c>
      <c r="D78" s="4"/>
      <c r="E78" s="4"/>
      <c r="F78" s="6" t="str">
        <f>VLOOKUP(B78,Sheet1!$F$2:$N$100,6,False)</f>
        <v/>
      </c>
      <c r="G78" s="7" t="str">
        <f>VLOOKUP(B78,Sheet1!$F$2:$N$100,7,False)</f>
        <v/>
      </c>
      <c r="H78" s="7" t="str">
        <f>VLOOKUP(B78,Sheet1!$F$2:$N$100,8,False)</f>
        <v/>
      </c>
      <c r="I78" s="7" t="str">
        <f>VLOOKUP(B78,Sheet1!$F$2:$N$100,9,False)</f>
        <v/>
      </c>
      <c r="J78" s="8"/>
      <c r="K78" s="8"/>
      <c r="L78" s="8"/>
      <c r="M78" s="8"/>
      <c r="N78" s="8"/>
      <c r="O78" s="8"/>
      <c r="P78" s="8"/>
      <c r="Q78" s="8"/>
      <c r="R78" s="8"/>
      <c r="S78" s="8"/>
    </row>
    <row r="79" ht="12.75" customHeight="1">
      <c r="A79" s="4" t="s">
        <v>31</v>
      </c>
      <c r="B79" s="5" t="s">
        <v>122</v>
      </c>
      <c r="C79" s="4">
        <v>1.0</v>
      </c>
      <c r="D79" s="4"/>
      <c r="E79" s="4"/>
      <c r="F79" s="6"/>
      <c r="G79" s="7"/>
      <c r="H79" s="7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ht="12.75" customHeight="1">
      <c r="A80" s="4" t="s">
        <v>31</v>
      </c>
      <c r="B80" s="5" t="s">
        <v>123</v>
      </c>
      <c r="C80" s="4">
        <v>1.0</v>
      </c>
      <c r="D80" s="4"/>
      <c r="E80" s="4"/>
      <c r="F80" s="6"/>
      <c r="G80" s="7"/>
      <c r="H80" s="7"/>
      <c r="I80" s="7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ht="12.75" customHeight="1">
      <c r="A81" s="4" t="s">
        <v>31</v>
      </c>
      <c r="B81" s="5" t="s">
        <v>124</v>
      </c>
      <c r="C81" s="4">
        <v>1.0</v>
      </c>
      <c r="D81" s="4"/>
      <c r="E81" s="4"/>
      <c r="F81" s="6"/>
      <c r="G81" s="7"/>
      <c r="H81" s="7"/>
      <c r="I81" s="7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t="12.75" customHeight="1">
      <c r="A82" s="4" t="s">
        <v>69</v>
      </c>
      <c r="B82" s="5" t="s">
        <v>125</v>
      </c>
      <c r="C82" s="4">
        <v>2.0</v>
      </c>
      <c r="D82" s="4"/>
      <c r="E82" s="4"/>
      <c r="F82" s="6" t="str">
        <f>VLOOKUP(B82,Sheet1!$F$2:$N$100,6,False)</f>
        <v/>
      </c>
      <c r="G82" s="7" t="str">
        <f>VLOOKUP(B82,Sheet1!$F$2:$N$100,7,False)</f>
        <v/>
      </c>
      <c r="H82" s="7" t="str">
        <f>VLOOKUP(B82,Sheet1!$F$2:$N$100,8,False)</f>
        <v/>
      </c>
      <c r="I82" s="7" t="str">
        <f>VLOOKUP(B82,Sheet1!$F$2:$N$100,9,False)</f>
        <v/>
      </c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t="12.75" customHeight="1">
      <c r="A83" s="4" t="s">
        <v>126</v>
      </c>
      <c r="B83" s="5" t="s">
        <v>127</v>
      </c>
      <c r="C83" s="4">
        <v>1.0</v>
      </c>
      <c r="D83" s="4"/>
      <c r="E83" s="4"/>
      <c r="F83" s="6" t="str">
        <f>VLOOKUP(B83,Sheet1!$F$2:$N$100,6,False)</f>
        <v/>
      </c>
      <c r="G83" s="7" t="str">
        <f>VLOOKUP(B83,Sheet1!$F$2:$N$100,7,False)</f>
        <v/>
      </c>
      <c r="H83" s="7" t="str">
        <f>VLOOKUP(B83,Sheet1!$F$2:$N$100,8,False)</f>
        <v/>
      </c>
      <c r="I83" s="7" t="str">
        <f>VLOOKUP(B83,Sheet1!$F$2:$N$100,9,False)</f>
        <v/>
      </c>
      <c r="J83" s="8"/>
      <c r="K83" s="8"/>
      <c r="L83" s="8"/>
      <c r="M83" s="8"/>
      <c r="N83" s="8"/>
      <c r="O83" s="8"/>
      <c r="P83" s="8"/>
      <c r="Q83" s="8"/>
      <c r="R83" s="8"/>
      <c r="S83" s="8"/>
    </row>
    <row r="84" ht="12.75" customHeight="1">
      <c r="A84" s="4" t="s">
        <v>126</v>
      </c>
      <c r="B84" s="5" t="s">
        <v>128</v>
      </c>
      <c r="C84" s="4">
        <v>1.0</v>
      </c>
      <c r="D84" s="4"/>
      <c r="E84" s="4"/>
      <c r="F84" s="6" t="str">
        <f>VLOOKUP(B84,Sheet1!$F$2:$N$100,6,False)</f>
        <v/>
      </c>
      <c r="G84" s="7" t="str">
        <f>VLOOKUP(B84,Sheet1!$F$2:$N$100,7,False)</f>
        <v/>
      </c>
      <c r="H84" s="7" t="str">
        <f>VLOOKUP(B84,Sheet1!$F$2:$N$100,8,False)</f>
        <v/>
      </c>
      <c r="I84" s="7" t="str">
        <f>VLOOKUP(B84,Sheet1!$F$2:$N$100,9,False)</f>
        <v/>
      </c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t="12.75" customHeight="1">
      <c r="A85" s="4" t="s">
        <v>126</v>
      </c>
      <c r="B85" s="5" t="s">
        <v>129</v>
      </c>
      <c r="C85" s="4">
        <v>1.0</v>
      </c>
      <c r="D85" s="4"/>
      <c r="E85" s="4"/>
      <c r="F85" s="6" t="str">
        <f>VLOOKUP(B85,Sheet1!$F$2:$N$100,6,False)</f>
        <v/>
      </c>
      <c r="G85" s="7" t="str">
        <f>VLOOKUP(B85,Sheet1!$F$2:$N$100,7,False)</f>
        <v/>
      </c>
      <c r="H85" s="7" t="str">
        <f>VLOOKUP(B85,Sheet1!$F$2:$N$100,8,False)</f>
        <v/>
      </c>
      <c r="I85" s="7" t="str">
        <f>VLOOKUP(B85,Sheet1!$F$2:$N$100,9,False)</f>
        <v/>
      </c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t="12.75" customHeight="1">
      <c r="A86" s="4" t="s">
        <v>126</v>
      </c>
      <c r="B86" s="5" t="s">
        <v>130</v>
      </c>
      <c r="C86" s="4">
        <v>1.0</v>
      </c>
      <c r="D86" s="4"/>
      <c r="E86" s="4"/>
      <c r="F86" s="6" t="str">
        <f>VLOOKUP(B86,Sheet1!$F$2:$N$100,6,False)</f>
        <v/>
      </c>
      <c r="G86" s="7" t="str">
        <f>VLOOKUP(B86,Sheet1!$F$2:$N$100,7,False)</f>
        <v/>
      </c>
      <c r="H86" s="7" t="str">
        <f>VLOOKUP(B86,Sheet1!$F$2:$N$100,8,False)</f>
        <v/>
      </c>
      <c r="I86" s="7" t="str">
        <f>VLOOKUP(B86,Sheet1!$F$2:$N$100,9,False)</f>
        <v/>
      </c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t="12.75" customHeight="1">
      <c r="A87" s="4" t="s">
        <v>131</v>
      </c>
      <c r="B87" s="5" t="s">
        <v>132</v>
      </c>
      <c r="C87" s="4">
        <v>6.0</v>
      </c>
      <c r="D87" s="4"/>
      <c r="E87" s="4"/>
      <c r="F87" s="6" t="str">
        <f>VLOOKUP(B87,Sheet1!$F$2:$N$100,6,False)</f>
        <v/>
      </c>
      <c r="G87" s="7" t="str">
        <f>VLOOKUP(B87,Sheet1!$F$2:$N$100,7,False)</f>
        <v/>
      </c>
      <c r="H87" s="7" t="str">
        <f>VLOOKUP(B87,Sheet1!$F$2:$N$100,8,False)</f>
        <v/>
      </c>
      <c r="I87" s="7" t="str">
        <f>VLOOKUP(B87,Sheet1!$F$2:$N$100,9,False)</f>
        <v/>
      </c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t="12.75" customHeight="1">
      <c r="A88" s="4" t="s">
        <v>126</v>
      </c>
      <c r="B88" s="5" t="s">
        <v>133</v>
      </c>
      <c r="C88" s="4">
        <v>3.0</v>
      </c>
      <c r="D88" s="4"/>
      <c r="E88" s="4"/>
      <c r="F88" s="6" t="str">
        <f>VLOOKUP(B88,Sheet1!$F$2:$N$100,6,False)</f>
        <v/>
      </c>
      <c r="G88" s="7" t="str">
        <f>VLOOKUP(B88,Sheet1!$F$2:$N$100,7,False)</f>
        <v/>
      </c>
      <c r="H88" s="7" t="str">
        <f>VLOOKUP(B88,Sheet1!$F$2:$N$100,8,False)</f>
        <v/>
      </c>
      <c r="I88" s="7" t="str">
        <f>VLOOKUP(B88,Sheet1!$F$2:$N$100,9,False)</f>
        <v/>
      </c>
      <c r="J88" s="8"/>
      <c r="K88" s="8"/>
      <c r="L88" s="8"/>
      <c r="M88" s="8"/>
      <c r="N88" s="8"/>
      <c r="O88" s="8"/>
      <c r="P88" s="8"/>
      <c r="Q88" s="8"/>
      <c r="R88" s="8"/>
      <c r="S88" s="8"/>
    </row>
    <row r="89" ht="12.75" customHeight="1">
      <c r="A89" s="4" t="s">
        <v>134</v>
      </c>
      <c r="B89" s="5" t="s">
        <v>135</v>
      </c>
      <c r="C89" s="4">
        <v>1.0</v>
      </c>
      <c r="D89" s="4"/>
      <c r="E89" s="4"/>
      <c r="F89" s="6" t="str">
        <f>VLOOKUP(B89,Sheet1!$F$2:$N$100,6,False)</f>
        <v>Epson</v>
      </c>
      <c r="G89" s="7" t="str">
        <f>VLOOKUP(B89,Sheet1!$F$2:$N$100,7,False)</f>
        <v>RX8900CEUB</v>
      </c>
      <c r="H89" s="7" t="str">
        <f>VLOOKUP(B89,Sheet1!$F$2:$N$100,8,False)</f>
        <v/>
      </c>
      <c r="I89" s="7" t="str">
        <f>VLOOKUP(B89,Sheet1!$F$2:$N$100,9,False)</f>
        <v/>
      </c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t="12.75" customHeight="1">
      <c r="A90" s="4" t="s">
        <v>126</v>
      </c>
      <c r="B90" s="5" t="s">
        <v>136</v>
      </c>
      <c r="C90" s="4">
        <v>1.0</v>
      </c>
      <c r="D90" s="4"/>
      <c r="E90" s="4"/>
      <c r="F90" s="6" t="str">
        <f>VLOOKUP(B90,Sheet1!$F$2:$N$100,6,False)</f>
        <v/>
      </c>
      <c r="G90" s="7" t="str">
        <f>VLOOKUP(B90,Sheet1!$F$2:$N$100,7,False)</f>
        <v/>
      </c>
      <c r="H90" s="7" t="str">
        <f>VLOOKUP(B90,Sheet1!$F$2:$N$100,8,False)</f>
        <v/>
      </c>
      <c r="I90" s="7" t="str">
        <f>VLOOKUP(B90,Sheet1!$F$2:$N$100,9,False)</f>
        <v/>
      </c>
      <c r="J90" s="8"/>
      <c r="K90" s="8"/>
      <c r="L90" s="8"/>
      <c r="M90" s="8"/>
      <c r="N90" s="8"/>
      <c r="O90" s="8"/>
      <c r="P90" s="8"/>
      <c r="Q90" s="8"/>
      <c r="R90" s="8"/>
      <c r="S90" s="8"/>
    </row>
    <row r="91" ht="12.75" customHeight="1">
      <c r="A91" s="4" t="s">
        <v>137</v>
      </c>
      <c r="B91" s="5" t="s">
        <v>138</v>
      </c>
      <c r="C91" s="4">
        <v>1.0</v>
      </c>
      <c r="D91" s="4"/>
      <c r="E91" s="4"/>
      <c r="F91" s="6" t="str">
        <f>VLOOKUP(B91,Sheet1!$F$2:$N$100,6,False)</f>
        <v/>
      </c>
      <c r="G91" s="7" t="str">
        <f>VLOOKUP(B91,Sheet1!$F$2:$N$100,7,False)</f>
        <v/>
      </c>
      <c r="H91" s="7" t="str">
        <f>VLOOKUP(B91,Sheet1!$F$2:$N$100,8,False)</f>
        <v/>
      </c>
      <c r="I91" s="7" t="str">
        <f>VLOOKUP(B91,Sheet1!$F$2:$N$100,9,False)</f>
        <v/>
      </c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t="12.75" customHeight="1">
      <c r="A92" s="4" t="s">
        <v>69</v>
      </c>
      <c r="B92" s="5" t="s">
        <v>139</v>
      </c>
      <c r="C92" s="4">
        <v>1.0</v>
      </c>
      <c r="D92" s="4"/>
      <c r="E92" s="4"/>
      <c r="F92" s="6" t="str">
        <f>VLOOKUP(B92,Sheet1!$F$2:$N$100,6,False)</f>
        <v/>
      </c>
      <c r="G92" s="7" t="str">
        <f>VLOOKUP(B92,Sheet1!$F$2:$N$100,7,False)</f>
        <v/>
      </c>
      <c r="H92" s="7" t="str">
        <f>VLOOKUP(B92,Sheet1!$F$2:$N$100,8,False)</f>
        <v/>
      </c>
      <c r="I92" s="7" t="str">
        <f>VLOOKUP(B92,Sheet1!$F$2:$N$100,9,False)</f>
        <v/>
      </c>
      <c r="J92" s="8"/>
      <c r="K92" s="8"/>
      <c r="L92" s="8"/>
      <c r="M92" s="8"/>
      <c r="N92" s="8"/>
      <c r="O92" s="8"/>
      <c r="P92" s="8"/>
      <c r="Q92" s="8"/>
      <c r="R92" s="8"/>
      <c r="S92" s="8"/>
    </row>
    <row r="93" ht="12.75" customHeight="1">
      <c r="A93" s="4" t="s">
        <v>126</v>
      </c>
      <c r="B93" s="5" t="s">
        <v>140</v>
      </c>
      <c r="C93" s="4">
        <v>1.0</v>
      </c>
      <c r="D93" s="4"/>
      <c r="E93" s="4"/>
      <c r="F93" s="6" t="str">
        <f>VLOOKUP(B93,Sheet1!$F$2:$N$100,6,False)</f>
        <v/>
      </c>
      <c r="G93" s="7" t="str">
        <f>VLOOKUP(B93,Sheet1!$F$2:$N$100,7,False)</f>
        <v/>
      </c>
      <c r="H93" s="7" t="str">
        <f>VLOOKUP(B93,Sheet1!$F$2:$N$100,8,False)</f>
        <v/>
      </c>
      <c r="I93" s="7" t="str">
        <f>VLOOKUP(B93,Sheet1!$F$2:$N$100,9,False)</f>
        <v/>
      </c>
      <c r="J93" s="8"/>
      <c r="K93" s="8"/>
      <c r="L93" s="8"/>
      <c r="M93" s="8"/>
      <c r="N93" s="8"/>
      <c r="O93" s="8"/>
      <c r="P93" s="8"/>
      <c r="Q93" s="8"/>
      <c r="R93" s="8"/>
      <c r="S93" s="8"/>
    </row>
    <row r="94" ht="12.75" customHeight="1">
      <c r="A94" s="4" t="s">
        <v>126</v>
      </c>
      <c r="B94" s="5" t="s">
        <v>141</v>
      </c>
      <c r="C94" s="4">
        <v>1.0</v>
      </c>
      <c r="D94" s="4"/>
      <c r="E94" s="4"/>
      <c r="F94" s="6" t="str">
        <f>VLOOKUP(B94,Sheet1!$F$2:$N$100,6,False)</f>
        <v/>
      </c>
      <c r="G94" s="7" t="str">
        <f>VLOOKUP(B94,Sheet1!$F$2:$N$100,7,False)</f>
        <v/>
      </c>
      <c r="H94" s="7" t="str">
        <f>VLOOKUP(B94,Sheet1!$F$2:$N$100,8,False)</f>
        <v/>
      </c>
      <c r="I94" s="7" t="str">
        <f>VLOOKUP(B94,Sheet1!$F$2:$N$100,9,False)</f>
        <v/>
      </c>
      <c r="J94" s="8"/>
      <c r="K94" s="8"/>
      <c r="L94" s="8"/>
      <c r="M94" s="8"/>
      <c r="N94" s="8"/>
      <c r="O94" s="8"/>
      <c r="P94" s="8"/>
      <c r="Q94" s="8"/>
      <c r="R94" s="8"/>
      <c r="S94" s="8"/>
    </row>
    <row r="95" ht="12.75" customHeight="1">
      <c r="A95" s="4" t="s">
        <v>69</v>
      </c>
      <c r="B95" s="5" t="s">
        <v>142</v>
      </c>
      <c r="C95" s="4">
        <v>1.0</v>
      </c>
      <c r="D95" s="4"/>
      <c r="E95" s="4"/>
      <c r="F95" s="6"/>
      <c r="G95" s="7"/>
      <c r="H95" s="7"/>
      <c r="I95" s="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ht="12.75" customHeight="1">
      <c r="A96" s="4" t="s">
        <v>143</v>
      </c>
      <c r="B96" s="5" t="s">
        <v>144</v>
      </c>
      <c r="C96" s="4">
        <v>1.0</v>
      </c>
      <c r="D96" s="4" t="s">
        <v>145</v>
      </c>
      <c r="E96" s="4" t="s">
        <v>146</v>
      </c>
      <c r="F96" s="6"/>
      <c r="G96" s="7"/>
      <c r="H96" s="7"/>
      <c r="I96" s="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ht="12.75" customHeight="1">
      <c r="A97" s="9"/>
      <c r="B97" s="10"/>
      <c r="C97" s="9"/>
      <c r="D97" s="9"/>
      <c r="E97" s="9"/>
      <c r="F97" s="11"/>
      <c r="G97" s="12"/>
      <c r="H97" s="12"/>
      <c r="I97" s="12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ht="13.5" customHeight="1">
      <c r="A98" s="13"/>
      <c r="B98" s="13"/>
      <c r="C98" s="13"/>
      <c r="D98" s="13"/>
      <c r="E98" s="13"/>
      <c r="F98" s="8"/>
      <c r="G98" s="14" t="s">
        <v>147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ht="9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ht="12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ht="12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ht="12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ht="12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ht="12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ht="12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ht="12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ht="12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ht="12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ht="12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ht="12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ht="12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ht="12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ht="12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ht="12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ht="12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ht="12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ht="12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ht="12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ht="12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ht="12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ht="12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ht="12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ht="12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ht="12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ht="12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ht="12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ht="12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ht="12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ht="12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ht="12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ht="12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ht="12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ht="12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ht="12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ht="12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ht="12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ht="12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ht="12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ht="12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ht="12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ht="12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ht="12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ht="12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ht="12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ht="12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ht="12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ht="12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ht="12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ht="12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ht="12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ht="12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ht="12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ht="12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ht="12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ht="12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ht="12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ht="12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ht="12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ht="12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ht="12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ht="12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ht="12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ht="12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ht="12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ht="12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ht="12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ht="12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ht="12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ht="12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ht="12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ht="12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ht="12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ht="12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ht="12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ht="12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ht="12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ht="12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ht="12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ht="12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ht="12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ht="12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ht="12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ht="12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ht="12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ht="12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ht="12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ht="12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ht="12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ht="12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ht="12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ht="12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ht="12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ht="12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ht="12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ht="12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ht="12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ht="12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ht="12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ht="12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ht="12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ht="12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ht="12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ht="12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ht="12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ht="12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ht="12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ht="12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ht="12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ht="12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ht="12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ht="12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ht="12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ht="12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ht="12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ht="12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ht="12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ht="12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ht="12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ht="12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ht="12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ht="12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ht="12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ht="12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ht="12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ht="12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ht="12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ht="12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ht="12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ht="12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ht="12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ht="12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ht="12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ht="12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ht="12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ht="12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ht="12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ht="12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ht="12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ht="12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ht="12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ht="12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ht="12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ht="12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ht="12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ht="12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ht="12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ht="12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ht="12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 ht="12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ht="12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 ht="12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ht="12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 ht="12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ht="12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 ht="12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ht="12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ht="12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ht="12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ht="12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ht="12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ht="12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ht="12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ht="12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ht="12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 ht="12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ht="12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 ht="12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ht="12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 ht="12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ht="12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 ht="12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ht="12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 ht="12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ht="12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 ht="12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ht="12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ht="12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ht="12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ht="12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ht="12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ht="12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ht="12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 ht="12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ht="12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 ht="12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ht="12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ht="12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ht="12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 ht="12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ht="12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 ht="12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headerFooter>
    <oddFooter>&amp;LAltium Limited Confidential&amp;C&amp;D&amp;RPage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" t="s">
        <v>148</v>
      </c>
      <c r="B1" s="16" t="s">
        <v>149</v>
      </c>
      <c r="C1" s="17" t="s">
        <v>150</v>
      </c>
      <c r="D1" s="16" t="s">
        <v>151</v>
      </c>
      <c r="E1" s="16" t="s">
        <v>0</v>
      </c>
      <c r="F1" s="16" t="s">
        <v>152</v>
      </c>
      <c r="G1" s="16" t="s">
        <v>153</v>
      </c>
      <c r="H1" s="16" t="s">
        <v>154</v>
      </c>
      <c r="I1" s="16" t="s">
        <v>155</v>
      </c>
      <c r="J1" s="16" t="s">
        <v>2</v>
      </c>
      <c r="K1" s="16" t="s">
        <v>156</v>
      </c>
      <c r="L1" s="16" t="s">
        <v>5</v>
      </c>
      <c r="M1" s="16" t="s">
        <v>157</v>
      </c>
      <c r="N1" s="16" t="s">
        <v>7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158</v>
      </c>
      <c r="B2" s="20" t="s">
        <v>159</v>
      </c>
      <c r="C2" s="20" t="s">
        <v>160</v>
      </c>
      <c r="D2" s="20" t="s">
        <v>161</v>
      </c>
      <c r="E2" s="20" t="s">
        <v>9</v>
      </c>
      <c r="F2" s="21" t="s">
        <v>11</v>
      </c>
      <c r="G2" s="22"/>
      <c r="H2" s="22"/>
      <c r="I2" s="20" t="s">
        <v>162</v>
      </c>
      <c r="J2" s="23">
        <v>20.0</v>
      </c>
      <c r="K2" s="6" t="s">
        <v>163</v>
      </c>
      <c r="L2" s="24" t="s">
        <v>164</v>
      </c>
      <c r="M2" s="6"/>
      <c r="N2" s="6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">
        <v>165</v>
      </c>
      <c r="B3" s="20" t="s">
        <v>166</v>
      </c>
      <c r="C3" s="20" t="s">
        <v>167</v>
      </c>
      <c r="D3" s="20" t="s">
        <v>168</v>
      </c>
      <c r="E3" s="20" t="s">
        <v>12</v>
      </c>
      <c r="F3" s="21" t="s">
        <v>13</v>
      </c>
      <c r="G3" s="22"/>
      <c r="H3" s="22"/>
      <c r="I3" s="20" t="s">
        <v>169</v>
      </c>
      <c r="J3" s="23">
        <v>2.0</v>
      </c>
      <c r="K3" s="6" t="s">
        <v>61</v>
      </c>
      <c r="L3" s="6" t="s">
        <v>170</v>
      </c>
      <c r="M3" s="6" t="s">
        <v>163</v>
      </c>
      <c r="N3" s="24" t="s">
        <v>171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172</v>
      </c>
      <c r="B4" s="20" t="s">
        <v>173</v>
      </c>
      <c r="C4" s="20" t="s">
        <v>174</v>
      </c>
      <c r="D4" s="20" t="s">
        <v>168</v>
      </c>
      <c r="E4" s="20" t="s">
        <v>12</v>
      </c>
      <c r="F4" s="21" t="s">
        <v>14</v>
      </c>
      <c r="G4" s="22"/>
      <c r="H4" s="22"/>
      <c r="I4" s="20" t="s">
        <v>175</v>
      </c>
      <c r="J4" s="23">
        <v>9.0</v>
      </c>
      <c r="K4" s="6"/>
      <c r="L4" s="6"/>
      <c r="M4" s="6"/>
      <c r="N4" s="6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176</v>
      </c>
      <c r="B5" s="20" t="s">
        <v>177</v>
      </c>
      <c r="C5" s="20" t="s">
        <v>178</v>
      </c>
      <c r="D5" s="20" t="s">
        <v>168</v>
      </c>
      <c r="E5" s="20" t="s">
        <v>9</v>
      </c>
      <c r="F5" s="21" t="s">
        <v>15</v>
      </c>
      <c r="G5" s="22"/>
      <c r="H5" s="22"/>
      <c r="I5" s="20" t="s">
        <v>179</v>
      </c>
      <c r="J5" s="23">
        <v>27.0</v>
      </c>
      <c r="K5" s="6" t="s">
        <v>163</v>
      </c>
      <c r="L5" s="24" t="s">
        <v>180</v>
      </c>
      <c r="M5" s="6"/>
      <c r="N5" s="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181</v>
      </c>
      <c r="B6" s="20" t="s">
        <v>182</v>
      </c>
      <c r="C6" s="20" t="s">
        <v>183</v>
      </c>
      <c r="D6" s="20" t="s">
        <v>161</v>
      </c>
      <c r="E6" s="20" t="s">
        <v>12</v>
      </c>
      <c r="F6" s="21" t="s">
        <v>16</v>
      </c>
      <c r="G6" s="22"/>
      <c r="H6" s="22"/>
      <c r="I6" s="20" t="s">
        <v>162</v>
      </c>
      <c r="J6" s="23">
        <v>18.0</v>
      </c>
      <c r="K6" s="6" t="s">
        <v>12</v>
      </c>
      <c r="L6" s="6" t="s">
        <v>184</v>
      </c>
      <c r="M6" s="6" t="s">
        <v>12</v>
      </c>
      <c r="N6" s="24" t="s">
        <v>184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 t="s">
        <v>185</v>
      </c>
      <c r="B7" s="20" t="s">
        <v>186</v>
      </c>
      <c r="C7" s="20" t="s">
        <v>187</v>
      </c>
      <c r="D7" s="20" t="s">
        <v>188</v>
      </c>
      <c r="E7" s="20" t="s">
        <v>9</v>
      </c>
      <c r="F7" s="21" t="s">
        <v>10</v>
      </c>
      <c r="G7" s="22"/>
      <c r="H7" s="22"/>
      <c r="I7" s="20" t="s">
        <v>162</v>
      </c>
      <c r="J7" s="23">
        <v>65.0</v>
      </c>
      <c r="K7" s="6" t="s">
        <v>163</v>
      </c>
      <c r="L7" s="24" t="s">
        <v>189</v>
      </c>
      <c r="M7" s="6"/>
      <c r="N7" s="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190</v>
      </c>
      <c r="B8" s="20" t="s">
        <v>191</v>
      </c>
      <c r="C8" s="20" t="s">
        <v>192</v>
      </c>
      <c r="D8" s="20" t="s">
        <v>168</v>
      </c>
      <c r="E8" s="20" t="s">
        <v>17</v>
      </c>
      <c r="F8" s="21" t="s">
        <v>18</v>
      </c>
      <c r="G8" s="22"/>
      <c r="H8" s="22"/>
      <c r="I8" s="20" t="s">
        <v>179</v>
      </c>
      <c r="J8" s="23">
        <v>7.0</v>
      </c>
      <c r="K8" s="6" t="s">
        <v>9</v>
      </c>
      <c r="L8" s="24" t="s">
        <v>193</v>
      </c>
      <c r="M8" s="6"/>
      <c r="N8" s="6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 t="s">
        <v>194</v>
      </c>
      <c r="B9" s="20" t="s">
        <v>195</v>
      </c>
      <c r="C9" s="20" t="s">
        <v>196</v>
      </c>
      <c r="D9" s="20" t="s">
        <v>161</v>
      </c>
      <c r="E9" s="20" t="s">
        <v>9</v>
      </c>
      <c r="F9" s="21" t="s">
        <v>19</v>
      </c>
      <c r="G9" s="22"/>
      <c r="H9" s="22"/>
      <c r="I9" s="20" t="s">
        <v>197</v>
      </c>
      <c r="J9" s="23">
        <v>4.0</v>
      </c>
      <c r="K9" s="6" t="s">
        <v>163</v>
      </c>
      <c r="L9" s="24" t="s">
        <v>198</v>
      </c>
      <c r="M9" s="6"/>
      <c r="N9" s="6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199</v>
      </c>
      <c r="B10" s="20" t="s">
        <v>200</v>
      </c>
      <c r="C10" s="20" t="s">
        <v>201</v>
      </c>
      <c r="D10" s="20" t="s">
        <v>188</v>
      </c>
      <c r="E10" s="20" t="s">
        <v>17</v>
      </c>
      <c r="F10" s="21" t="s">
        <v>20</v>
      </c>
      <c r="G10" s="22"/>
      <c r="H10" s="22"/>
      <c r="I10" s="20" t="s">
        <v>169</v>
      </c>
      <c r="J10" s="23">
        <v>4.0</v>
      </c>
      <c r="K10" s="6" t="s">
        <v>163</v>
      </c>
      <c r="L10" s="24" t="s">
        <v>202</v>
      </c>
      <c r="M10" s="6"/>
      <c r="N10" s="6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 t="s">
        <v>203</v>
      </c>
      <c r="B11" s="20" t="s">
        <v>204</v>
      </c>
      <c r="C11" s="20" t="s">
        <v>205</v>
      </c>
      <c r="D11" s="20" t="s">
        <v>161</v>
      </c>
      <c r="E11" s="20" t="s">
        <v>12</v>
      </c>
      <c r="F11" s="21" t="s">
        <v>21</v>
      </c>
      <c r="G11" s="22"/>
      <c r="H11" s="22"/>
      <c r="I11" s="20" t="s">
        <v>197</v>
      </c>
      <c r="J11" s="23">
        <v>5.0</v>
      </c>
      <c r="K11" s="6"/>
      <c r="L11" s="6"/>
      <c r="M11" s="6"/>
      <c r="N11" s="6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206</v>
      </c>
      <c r="B12" s="20" t="s">
        <v>207</v>
      </c>
      <c r="C12" s="20" t="s">
        <v>208</v>
      </c>
      <c r="D12" s="20" t="s">
        <v>161</v>
      </c>
      <c r="E12" s="20" t="s">
        <v>12</v>
      </c>
      <c r="F12" s="21" t="s">
        <v>22</v>
      </c>
      <c r="G12" s="22"/>
      <c r="H12" s="22"/>
      <c r="I12" s="20" t="s">
        <v>197</v>
      </c>
      <c r="J12" s="23">
        <v>6.0</v>
      </c>
      <c r="K12" s="6"/>
      <c r="L12" s="6"/>
      <c r="M12" s="6"/>
      <c r="N12" s="6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 t="s">
        <v>209</v>
      </c>
      <c r="B13" s="20" t="s">
        <v>210</v>
      </c>
      <c r="C13" s="20" t="s">
        <v>211</v>
      </c>
      <c r="D13" s="20" t="s">
        <v>161</v>
      </c>
      <c r="E13" s="20" t="s">
        <v>9</v>
      </c>
      <c r="F13" s="21" t="s">
        <v>23</v>
      </c>
      <c r="G13" s="22"/>
      <c r="H13" s="22"/>
      <c r="I13" s="20" t="s">
        <v>162</v>
      </c>
      <c r="J13" s="23">
        <v>4.0</v>
      </c>
      <c r="K13" s="6" t="s">
        <v>163</v>
      </c>
      <c r="L13" s="24" t="s">
        <v>212</v>
      </c>
      <c r="M13" s="6"/>
      <c r="N13" s="6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 t="s">
        <v>213</v>
      </c>
      <c r="B14" s="20" t="s">
        <v>214</v>
      </c>
      <c r="C14" s="20" t="s">
        <v>215</v>
      </c>
      <c r="D14" s="20" t="s">
        <v>216</v>
      </c>
      <c r="E14" s="20" t="s">
        <v>24</v>
      </c>
      <c r="F14" s="21" t="s">
        <v>25</v>
      </c>
      <c r="G14" s="22"/>
      <c r="H14" s="22"/>
      <c r="I14" s="20" t="s">
        <v>179</v>
      </c>
      <c r="J14" s="23">
        <v>10.0</v>
      </c>
      <c r="K14" s="6" t="s">
        <v>217</v>
      </c>
      <c r="L14" s="24" t="s">
        <v>218</v>
      </c>
      <c r="M14" s="6"/>
      <c r="N14" s="6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 t="s">
        <v>219</v>
      </c>
      <c r="B15" s="20" t="s">
        <v>220</v>
      </c>
      <c r="C15" s="20" t="s">
        <v>221</v>
      </c>
      <c r="D15" s="20" t="s">
        <v>188</v>
      </c>
      <c r="E15" s="20" t="s">
        <v>26</v>
      </c>
      <c r="F15" s="21" t="s">
        <v>27</v>
      </c>
      <c r="G15" s="22"/>
      <c r="H15" s="22"/>
      <c r="I15" s="20" t="s">
        <v>222</v>
      </c>
      <c r="J15" s="23">
        <v>2.0</v>
      </c>
      <c r="K15" s="6" t="s">
        <v>61</v>
      </c>
      <c r="L15" s="6" t="s">
        <v>223</v>
      </c>
      <c r="M15" s="6" t="s">
        <v>163</v>
      </c>
      <c r="N15" s="24" t="s">
        <v>224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225</v>
      </c>
      <c r="B16" s="20" t="s">
        <v>226</v>
      </c>
      <c r="C16" s="20" t="s">
        <v>227</v>
      </c>
      <c r="D16" s="20" t="s">
        <v>188</v>
      </c>
      <c r="E16" s="20" t="s">
        <v>17</v>
      </c>
      <c r="F16" s="21" t="s">
        <v>28</v>
      </c>
      <c r="G16" s="22"/>
      <c r="H16" s="22"/>
      <c r="I16" s="20" t="s">
        <v>169</v>
      </c>
      <c r="J16" s="23">
        <v>2.0</v>
      </c>
      <c r="K16" s="6" t="s">
        <v>163</v>
      </c>
      <c r="L16" s="24" t="s">
        <v>228</v>
      </c>
      <c r="M16" s="6"/>
      <c r="N16" s="6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 t="s">
        <v>229</v>
      </c>
      <c r="B17" s="20" t="s">
        <v>230</v>
      </c>
      <c r="C17" s="20" t="s">
        <v>231</v>
      </c>
      <c r="D17" s="20" t="s">
        <v>188</v>
      </c>
      <c r="E17" s="20" t="s">
        <v>24</v>
      </c>
      <c r="F17" s="21" t="s">
        <v>29</v>
      </c>
      <c r="G17" s="22"/>
      <c r="H17" s="22"/>
      <c r="I17" s="20" t="s">
        <v>179</v>
      </c>
      <c r="J17" s="23">
        <v>2.0</v>
      </c>
      <c r="K17" s="6" t="s">
        <v>61</v>
      </c>
      <c r="L17" s="24" t="s">
        <v>232</v>
      </c>
      <c r="M17" s="6"/>
      <c r="N17" s="6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233</v>
      </c>
      <c r="B18" s="20" t="s">
        <v>234</v>
      </c>
      <c r="C18" s="20" t="s">
        <v>235</v>
      </c>
      <c r="D18" s="20" t="s">
        <v>236</v>
      </c>
      <c r="E18" s="20" t="s">
        <v>24</v>
      </c>
      <c r="F18" s="21" t="s">
        <v>30</v>
      </c>
      <c r="G18" s="22"/>
      <c r="H18" s="22"/>
      <c r="I18" s="20" t="s">
        <v>162</v>
      </c>
      <c r="J18" s="23">
        <v>4.0</v>
      </c>
      <c r="K18" s="6" t="s">
        <v>61</v>
      </c>
      <c r="L18" s="24" t="s">
        <v>237</v>
      </c>
      <c r="M18" s="6"/>
      <c r="N18" s="6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9" t="s">
        <v>238</v>
      </c>
      <c r="B19" s="20" t="s">
        <v>239</v>
      </c>
      <c r="C19" s="25" t="s">
        <v>240</v>
      </c>
      <c r="D19" s="22"/>
      <c r="E19" s="20" t="s">
        <v>241</v>
      </c>
      <c r="F19" s="26" t="s">
        <v>242</v>
      </c>
      <c r="G19" s="22"/>
      <c r="H19" s="22"/>
      <c r="I19" s="20" t="s">
        <v>243</v>
      </c>
      <c r="J19" s="23">
        <v>1.0</v>
      </c>
      <c r="K19" s="6"/>
      <c r="L19" s="6"/>
      <c r="M19" s="6"/>
      <c r="N19" s="6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244</v>
      </c>
      <c r="B20" s="20" t="s">
        <v>245</v>
      </c>
      <c r="C20" s="25" t="s">
        <v>246</v>
      </c>
      <c r="D20" s="22"/>
      <c r="E20" s="20" t="s">
        <v>31</v>
      </c>
      <c r="F20" s="27">
        <v>5.051538E9</v>
      </c>
      <c r="G20" s="22"/>
      <c r="H20" s="22"/>
      <c r="I20" s="20" t="s">
        <v>243</v>
      </c>
      <c r="J20" s="23">
        <v>22.0</v>
      </c>
      <c r="K20" s="6"/>
      <c r="L20" s="6"/>
      <c r="M20" s="6"/>
      <c r="N20" s="6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9" t="s">
        <v>247</v>
      </c>
      <c r="B21" s="20" t="s">
        <v>248</v>
      </c>
      <c r="C21" s="25" t="s">
        <v>249</v>
      </c>
      <c r="D21" s="22"/>
      <c r="E21" s="20" t="s">
        <v>31</v>
      </c>
      <c r="F21" s="27">
        <v>5.02579E9</v>
      </c>
      <c r="G21" s="22"/>
      <c r="H21" s="22"/>
      <c r="I21" s="20" t="s">
        <v>243</v>
      </c>
      <c r="J21" s="23">
        <v>22.0</v>
      </c>
      <c r="K21" s="6"/>
      <c r="L21" s="6"/>
      <c r="M21" s="6"/>
      <c r="N21" s="6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9" t="s">
        <v>250</v>
      </c>
      <c r="B22" s="20" t="s">
        <v>251</v>
      </c>
      <c r="C22" s="20" t="s">
        <v>252</v>
      </c>
      <c r="D22" s="20" t="s">
        <v>253</v>
      </c>
      <c r="E22" s="20" t="s">
        <v>34</v>
      </c>
      <c r="F22" s="26" t="s">
        <v>35</v>
      </c>
      <c r="G22" s="22"/>
      <c r="H22" s="22"/>
      <c r="I22" s="20" t="s">
        <v>197</v>
      </c>
      <c r="J22" s="23">
        <v>2.0</v>
      </c>
      <c r="K22" s="6"/>
      <c r="L22" s="6"/>
      <c r="M22" s="6"/>
      <c r="N22" s="6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9" t="s">
        <v>254</v>
      </c>
      <c r="B23" s="20" t="s">
        <v>255</v>
      </c>
      <c r="C23" s="20" t="s">
        <v>256</v>
      </c>
      <c r="D23" s="20" t="s">
        <v>257</v>
      </c>
      <c r="E23" s="20" t="s">
        <v>36</v>
      </c>
      <c r="F23" s="21" t="s">
        <v>37</v>
      </c>
      <c r="G23" s="22"/>
      <c r="H23" s="22"/>
      <c r="I23" s="20" t="s">
        <v>162</v>
      </c>
      <c r="J23" s="23">
        <v>2.0</v>
      </c>
      <c r="K23" s="6"/>
      <c r="L23" s="6"/>
      <c r="M23" s="6"/>
      <c r="N23" s="6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9" t="s">
        <v>258</v>
      </c>
      <c r="B24" s="20" t="s">
        <v>259</v>
      </c>
      <c r="C24" s="20" t="s">
        <v>260</v>
      </c>
      <c r="D24" s="20" t="s">
        <v>253</v>
      </c>
      <c r="E24" s="20" t="s">
        <v>34</v>
      </c>
      <c r="F24" s="21" t="s">
        <v>38</v>
      </c>
      <c r="G24" s="22"/>
      <c r="H24" s="22"/>
      <c r="I24" s="20" t="s">
        <v>179</v>
      </c>
      <c r="J24" s="23">
        <v>3.0</v>
      </c>
      <c r="K24" s="6"/>
      <c r="L24" s="6"/>
      <c r="M24" s="6"/>
      <c r="N24" s="6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9" t="s">
        <v>261</v>
      </c>
      <c r="B25" s="20" t="s">
        <v>262</v>
      </c>
      <c r="C25" s="20" t="s">
        <v>263</v>
      </c>
      <c r="D25" s="20" t="s">
        <v>264</v>
      </c>
      <c r="E25" s="20" t="s">
        <v>34</v>
      </c>
      <c r="F25" s="26" t="s">
        <v>39</v>
      </c>
      <c r="G25" s="22"/>
      <c r="H25" s="22"/>
      <c r="I25" s="20" t="s">
        <v>197</v>
      </c>
      <c r="J25" s="23">
        <v>3.0</v>
      </c>
      <c r="K25" s="6"/>
      <c r="L25" s="6"/>
      <c r="M25" s="6"/>
      <c r="N25" s="6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9" t="s">
        <v>265</v>
      </c>
      <c r="B26" s="20" t="s">
        <v>266</v>
      </c>
      <c r="C26" s="20" t="s">
        <v>267</v>
      </c>
      <c r="D26" s="20" t="s">
        <v>253</v>
      </c>
      <c r="E26" s="20" t="s">
        <v>34</v>
      </c>
      <c r="F26" s="21" t="s">
        <v>40</v>
      </c>
      <c r="G26" s="22"/>
      <c r="H26" s="22"/>
      <c r="I26" s="20" t="s">
        <v>197</v>
      </c>
      <c r="J26" s="23">
        <v>2.0</v>
      </c>
      <c r="K26" s="6"/>
      <c r="L26" s="6"/>
      <c r="M26" s="6"/>
      <c r="N26" s="6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9" t="s">
        <v>268</v>
      </c>
      <c r="B27" s="20" t="s">
        <v>269</v>
      </c>
      <c r="C27" s="20" t="s">
        <v>270</v>
      </c>
      <c r="D27" s="20" t="s">
        <v>253</v>
      </c>
      <c r="E27" s="20" t="s">
        <v>34</v>
      </c>
      <c r="F27" s="26" t="s">
        <v>41</v>
      </c>
      <c r="G27" s="22"/>
      <c r="H27" s="22"/>
      <c r="I27" s="20" t="s">
        <v>197</v>
      </c>
      <c r="J27" s="23">
        <v>2.0</v>
      </c>
      <c r="K27" s="6"/>
      <c r="L27" s="6"/>
      <c r="M27" s="6"/>
      <c r="N27" s="6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9" t="s">
        <v>271</v>
      </c>
      <c r="B28" s="20" t="s">
        <v>272</v>
      </c>
      <c r="C28" s="20" t="s">
        <v>273</v>
      </c>
      <c r="D28" s="20" t="s">
        <v>253</v>
      </c>
      <c r="E28" s="20" t="s">
        <v>34</v>
      </c>
      <c r="F28" s="21" t="s">
        <v>43</v>
      </c>
      <c r="G28" s="22"/>
      <c r="H28" s="22"/>
      <c r="I28" s="20" t="s">
        <v>169</v>
      </c>
      <c r="J28" s="23">
        <v>1.0</v>
      </c>
      <c r="K28" s="6"/>
      <c r="L28" s="6"/>
      <c r="M28" s="6"/>
      <c r="N28" s="6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9" t="s">
        <v>274</v>
      </c>
      <c r="B29" s="20" t="s">
        <v>275</v>
      </c>
      <c r="C29" s="20" t="s">
        <v>276</v>
      </c>
      <c r="D29" s="20" t="s">
        <v>264</v>
      </c>
      <c r="E29" s="20" t="s">
        <v>34</v>
      </c>
      <c r="F29" s="26" t="s">
        <v>44</v>
      </c>
      <c r="G29" s="22"/>
      <c r="H29" s="22"/>
      <c r="I29" s="20" t="s">
        <v>162</v>
      </c>
      <c r="J29" s="23">
        <v>6.0</v>
      </c>
      <c r="K29" s="6"/>
      <c r="L29" s="6"/>
      <c r="M29" s="6"/>
      <c r="N29" s="6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9" t="s">
        <v>277</v>
      </c>
      <c r="B30" s="20" t="s">
        <v>278</v>
      </c>
      <c r="C30" s="20" t="s">
        <v>279</v>
      </c>
      <c r="D30" s="20" t="s">
        <v>264</v>
      </c>
      <c r="E30" s="20" t="s">
        <v>34</v>
      </c>
      <c r="F30" s="26" t="s">
        <v>45</v>
      </c>
      <c r="G30" s="22"/>
      <c r="H30" s="22"/>
      <c r="I30" s="20" t="s">
        <v>169</v>
      </c>
      <c r="J30" s="23">
        <v>2.0</v>
      </c>
      <c r="K30" s="6"/>
      <c r="L30" s="6"/>
      <c r="M30" s="6"/>
      <c r="N30" s="6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9" t="s">
        <v>280</v>
      </c>
      <c r="B31" s="20" t="s">
        <v>281</v>
      </c>
      <c r="C31" s="20" t="s">
        <v>282</v>
      </c>
      <c r="D31" s="20" t="s">
        <v>47</v>
      </c>
      <c r="E31" s="20" t="s">
        <v>46</v>
      </c>
      <c r="F31" s="21" t="s">
        <v>47</v>
      </c>
      <c r="G31" s="22"/>
      <c r="H31" s="22"/>
      <c r="I31" s="20" t="s">
        <v>162</v>
      </c>
      <c r="J31" s="23">
        <v>2.0</v>
      </c>
      <c r="K31" s="6"/>
      <c r="L31" s="6"/>
      <c r="M31" s="6"/>
      <c r="N31" s="6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9" t="s">
        <v>283</v>
      </c>
      <c r="B32" s="20" t="s">
        <v>284</v>
      </c>
      <c r="C32" s="20" t="s">
        <v>285</v>
      </c>
      <c r="D32" s="20" t="s">
        <v>286</v>
      </c>
      <c r="E32" s="20" t="s">
        <v>50</v>
      </c>
      <c r="F32" s="27">
        <v>7460408.0</v>
      </c>
      <c r="G32" s="22"/>
      <c r="H32" s="22"/>
      <c r="I32" s="20" t="s">
        <v>169</v>
      </c>
      <c r="J32" s="23">
        <v>3.0</v>
      </c>
      <c r="K32" s="6"/>
      <c r="L32" s="6"/>
      <c r="M32" s="6"/>
      <c r="N32" s="6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9" t="s">
        <v>287</v>
      </c>
      <c r="B33" s="20" t="s">
        <v>288</v>
      </c>
      <c r="C33" s="20" t="s">
        <v>289</v>
      </c>
      <c r="D33" s="20" t="s">
        <v>288</v>
      </c>
      <c r="E33" s="20" t="s">
        <v>31</v>
      </c>
      <c r="F33" s="27">
        <v>5.0235212E9</v>
      </c>
      <c r="G33" s="22"/>
      <c r="H33" s="22"/>
      <c r="I33" s="20" t="s">
        <v>169</v>
      </c>
      <c r="J33" s="23">
        <v>1.0</v>
      </c>
      <c r="K33" s="6"/>
      <c r="L33" s="6"/>
      <c r="M33" s="6"/>
      <c r="N33" s="6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9" t="s">
        <v>290</v>
      </c>
      <c r="B34" s="20" t="s">
        <v>291</v>
      </c>
      <c r="C34" s="20" t="s">
        <v>292</v>
      </c>
      <c r="D34" s="20" t="s">
        <v>293</v>
      </c>
      <c r="E34" s="20" t="s">
        <v>31</v>
      </c>
      <c r="F34" s="27">
        <v>5.03148227E9</v>
      </c>
      <c r="G34" s="22"/>
      <c r="H34" s="22"/>
      <c r="I34" s="20" t="s">
        <v>169</v>
      </c>
      <c r="J34" s="23">
        <v>1.0</v>
      </c>
      <c r="K34" s="6"/>
      <c r="L34" s="6"/>
      <c r="M34" s="6"/>
      <c r="N34" s="6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9" t="s">
        <v>294</v>
      </c>
      <c r="B35" s="20" t="s">
        <v>295</v>
      </c>
      <c r="C35" s="20" t="s">
        <v>296</v>
      </c>
      <c r="D35" s="20" t="s">
        <v>297</v>
      </c>
      <c r="E35" s="20" t="s">
        <v>31</v>
      </c>
      <c r="F35" s="26" t="s">
        <v>54</v>
      </c>
      <c r="G35" s="22"/>
      <c r="H35" s="22"/>
      <c r="I35" s="20" t="s">
        <v>169</v>
      </c>
      <c r="J35" s="23">
        <v>1.0</v>
      </c>
      <c r="K35" s="6"/>
      <c r="L35" s="6"/>
      <c r="M35" s="6"/>
      <c r="N35" s="6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9" t="s">
        <v>298</v>
      </c>
      <c r="B36" s="20" t="s">
        <v>299</v>
      </c>
      <c r="C36" s="20" t="s">
        <v>300</v>
      </c>
      <c r="D36" s="20" t="s">
        <v>301</v>
      </c>
      <c r="E36" s="20" t="s">
        <v>55</v>
      </c>
      <c r="F36" s="26" t="s">
        <v>56</v>
      </c>
      <c r="G36" s="22"/>
      <c r="H36" s="22"/>
      <c r="I36" s="20" t="s">
        <v>169</v>
      </c>
      <c r="J36" s="23">
        <v>1.0</v>
      </c>
      <c r="K36" s="6"/>
      <c r="L36" s="6"/>
      <c r="M36" s="6"/>
      <c r="N36" s="6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9" t="s">
        <v>302</v>
      </c>
      <c r="B37" s="20" t="s">
        <v>303</v>
      </c>
      <c r="C37" s="20" t="s">
        <v>304</v>
      </c>
      <c r="D37" s="20" t="s">
        <v>305</v>
      </c>
      <c r="E37" s="20" t="s">
        <v>9</v>
      </c>
      <c r="F37" s="21" t="s">
        <v>57</v>
      </c>
      <c r="G37" s="22"/>
      <c r="H37" s="22"/>
      <c r="I37" s="20" t="s">
        <v>197</v>
      </c>
      <c r="J37" s="23">
        <v>1.0</v>
      </c>
      <c r="K37" s="6"/>
      <c r="L37" s="6"/>
      <c r="M37" s="6"/>
      <c r="N37" s="6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9" t="s">
        <v>306</v>
      </c>
      <c r="B38" s="20" t="s">
        <v>307</v>
      </c>
      <c r="C38" s="20" t="s">
        <v>308</v>
      </c>
      <c r="D38" s="20" t="s">
        <v>309</v>
      </c>
      <c r="E38" s="20" t="s">
        <v>55</v>
      </c>
      <c r="F38" s="21" t="s">
        <v>58</v>
      </c>
      <c r="G38" s="22"/>
      <c r="H38" s="22"/>
      <c r="I38" s="20" t="s">
        <v>169</v>
      </c>
      <c r="J38" s="23">
        <v>1.0</v>
      </c>
      <c r="K38" s="6" t="s">
        <v>61</v>
      </c>
      <c r="L38" s="24" t="s">
        <v>310</v>
      </c>
      <c r="M38" s="6"/>
      <c r="N38" s="6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9" t="s">
        <v>311</v>
      </c>
      <c r="B39" s="20" t="s">
        <v>312</v>
      </c>
      <c r="C39" s="20" t="s">
        <v>313</v>
      </c>
      <c r="D39" s="20" t="s">
        <v>314</v>
      </c>
      <c r="E39" s="20" t="s">
        <v>59</v>
      </c>
      <c r="F39" s="26" t="s">
        <v>60</v>
      </c>
      <c r="G39" s="22"/>
      <c r="H39" s="22"/>
      <c r="I39" s="20" t="s">
        <v>169</v>
      </c>
      <c r="J39" s="23">
        <v>4.0</v>
      </c>
      <c r="K39" s="6"/>
      <c r="L39" s="6"/>
      <c r="M39" s="6"/>
      <c r="N39" s="6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9" t="s">
        <v>315</v>
      </c>
      <c r="B40" s="20" t="s">
        <v>316</v>
      </c>
      <c r="C40" s="20" t="s">
        <v>317</v>
      </c>
      <c r="D40" s="20" t="s">
        <v>316</v>
      </c>
      <c r="E40" s="20" t="s">
        <v>61</v>
      </c>
      <c r="F40" s="21" t="s">
        <v>62</v>
      </c>
      <c r="G40" s="22"/>
      <c r="H40" s="22"/>
      <c r="I40" s="20" t="s">
        <v>169</v>
      </c>
      <c r="J40" s="23">
        <v>1.0</v>
      </c>
      <c r="K40" s="6"/>
      <c r="L40" s="6"/>
      <c r="M40" s="6"/>
      <c r="N40" s="6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9" t="s">
        <v>318</v>
      </c>
      <c r="B41" s="20" t="s">
        <v>319</v>
      </c>
      <c r="C41" s="25" t="s">
        <v>320</v>
      </c>
      <c r="D41" s="22"/>
      <c r="E41" s="20" t="s">
        <v>63</v>
      </c>
      <c r="F41" s="21" t="s">
        <v>64</v>
      </c>
      <c r="G41" s="22"/>
      <c r="H41" s="22"/>
      <c r="I41" s="20" t="s">
        <v>243</v>
      </c>
      <c r="J41" s="23">
        <v>5.0</v>
      </c>
      <c r="K41" s="6"/>
      <c r="L41" s="6"/>
      <c r="M41" s="6"/>
      <c r="N41" s="6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9" t="s">
        <v>321</v>
      </c>
      <c r="B42" s="20" t="s">
        <v>66</v>
      </c>
      <c r="C42" s="20" t="s">
        <v>322</v>
      </c>
      <c r="D42" s="20" t="s">
        <v>323</v>
      </c>
      <c r="E42" s="20" t="s">
        <v>65</v>
      </c>
      <c r="F42" s="21" t="s">
        <v>66</v>
      </c>
      <c r="G42" s="22"/>
      <c r="H42" s="22"/>
      <c r="I42" s="20" t="s">
        <v>169</v>
      </c>
      <c r="J42" s="23">
        <v>1.0</v>
      </c>
      <c r="K42" s="6" t="s">
        <v>324</v>
      </c>
      <c r="L42" s="6" t="s">
        <v>325</v>
      </c>
      <c r="M42" s="6"/>
      <c r="N42" s="6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9" t="s">
        <v>326</v>
      </c>
      <c r="B43" s="20" t="s">
        <v>327</v>
      </c>
      <c r="C43" s="20" t="s">
        <v>327</v>
      </c>
      <c r="D43" s="22"/>
      <c r="E43" s="22"/>
      <c r="F43" s="26" t="s">
        <v>67</v>
      </c>
      <c r="G43" s="22"/>
      <c r="H43" s="22"/>
      <c r="I43" s="20" t="s">
        <v>243</v>
      </c>
      <c r="J43" s="23">
        <v>1.0</v>
      </c>
      <c r="K43" s="6"/>
      <c r="L43" s="6"/>
      <c r="M43" s="6"/>
      <c r="N43" s="6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9" t="s">
        <v>328</v>
      </c>
      <c r="B44" s="20" t="s">
        <v>329</v>
      </c>
      <c r="C44" s="20" t="s">
        <v>330</v>
      </c>
      <c r="D44" s="20" t="s">
        <v>264</v>
      </c>
      <c r="E44" s="20" t="s">
        <v>69</v>
      </c>
      <c r="F44" s="21" t="s">
        <v>70</v>
      </c>
      <c r="G44" s="22"/>
      <c r="H44" s="22"/>
      <c r="I44" s="20" t="s">
        <v>162</v>
      </c>
      <c r="J44" s="23">
        <v>12.0</v>
      </c>
      <c r="K44" s="6"/>
      <c r="L44" s="6"/>
      <c r="M44" s="6"/>
      <c r="N44" s="6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9" t="s">
        <v>331</v>
      </c>
      <c r="B45" s="20" t="s">
        <v>332</v>
      </c>
      <c r="C45" s="20" t="s">
        <v>333</v>
      </c>
      <c r="D45" s="20" t="s">
        <v>264</v>
      </c>
      <c r="E45" s="20" t="s">
        <v>69</v>
      </c>
      <c r="F45" s="21" t="s">
        <v>71</v>
      </c>
      <c r="G45" s="22"/>
      <c r="H45" s="22"/>
      <c r="I45" s="20" t="s">
        <v>162</v>
      </c>
      <c r="J45" s="23">
        <v>3.0</v>
      </c>
      <c r="K45" s="6"/>
      <c r="L45" s="6"/>
      <c r="M45" s="6"/>
      <c r="N45" s="6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9" t="s">
        <v>334</v>
      </c>
      <c r="B46" s="20" t="s">
        <v>335</v>
      </c>
      <c r="C46" s="20" t="s">
        <v>336</v>
      </c>
      <c r="D46" s="20" t="s">
        <v>264</v>
      </c>
      <c r="E46" s="20" t="s">
        <v>69</v>
      </c>
      <c r="F46" s="26" t="s">
        <v>72</v>
      </c>
      <c r="G46" s="22"/>
      <c r="H46" s="22"/>
      <c r="I46" s="20" t="s">
        <v>162</v>
      </c>
      <c r="J46" s="23">
        <v>6.0</v>
      </c>
      <c r="K46" s="6"/>
      <c r="L46" s="6"/>
      <c r="M46" s="6"/>
      <c r="N46" s="6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9" t="s">
        <v>337</v>
      </c>
      <c r="B47" s="20" t="s">
        <v>338</v>
      </c>
      <c r="C47" s="20" t="s">
        <v>339</v>
      </c>
      <c r="D47" s="20" t="s">
        <v>340</v>
      </c>
      <c r="E47" s="20" t="s">
        <v>69</v>
      </c>
      <c r="F47" s="21" t="s">
        <v>341</v>
      </c>
      <c r="G47" s="22"/>
      <c r="H47" s="22"/>
      <c r="I47" s="20" t="s">
        <v>179</v>
      </c>
      <c r="J47" s="23">
        <v>6.0</v>
      </c>
      <c r="K47" s="6"/>
      <c r="L47" s="6"/>
      <c r="M47" s="6"/>
      <c r="N47" s="6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9" t="s">
        <v>342</v>
      </c>
      <c r="B48" s="20" t="s">
        <v>343</v>
      </c>
      <c r="C48" s="20" t="s">
        <v>344</v>
      </c>
      <c r="D48" s="20" t="s">
        <v>345</v>
      </c>
      <c r="E48" s="20" t="s">
        <v>69</v>
      </c>
      <c r="F48" s="26" t="s">
        <v>76</v>
      </c>
      <c r="G48" s="22"/>
      <c r="H48" s="22"/>
      <c r="I48" s="20" t="s">
        <v>169</v>
      </c>
      <c r="J48" s="23">
        <v>2.0</v>
      </c>
      <c r="K48" s="6"/>
      <c r="L48" s="6"/>
      <c r="M48" s="6"/>
      <c r="N48" s="6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9" t="s">
        <v>346</v>
      </c>
      <c r="B49" s="20" t="s">
        <v>347</v>
      </c>
      <c r="C49" s="20" t="s">
        <v>348</v>
      </c>
      <c r="D49" s="20" t="s">
        <v>349</v>
      </c>
      <c r="E49" s="20" t="s">
        <v>79</v>
      </c>
      <c r="F49" s="21" t="s">
        <v>80</v>
      </c>
      <c r="G49" s="22"/>
      <c r="H49" s="22"/>
      <c r="I49" s="20" t="s">
        <v>162</v>
      </c>
      <c r="J49" s="23">
        <v>22.0</v>
      </c>
      <c r="K49" s="6" t="s">
        <v>81</v>
      </c>
      <c r="L49" s="24" t="s">
        <v>350</v>
      </c>
      <c r="M49" s="6"/>
      <c r="N49" s="6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9" t="s">
        <v>351</v>
      </c>
      <c r="B50" s="20" t="s">
        <v>352</v>
      </c>
      <c r="C50" s="20" t="s">
        <v>353</v>
      </c>
      <c r="D50" s="20" t="s">
        <v>354</v>
      </c>
      <c r="E50" s="20" t="s">
        <v>81</v>
      </c>
      <c r="F50" s="26" t="s">
        <v>82</v>
      </c>
      <c r="G50" s="22"/>
      <c r="H50" s="22"/>
      <c r="I50" s="20" t="s">
        <v>162</v>
      </c>
      <c r="J50" s="23">
        <v>16.0</v>
      </c>
      <c r="K50" s="6" t="s">
        <v>79</v>
      </c>
      <c r="L50" s="24" t="s">
        <v>355</v>
      </c>
      <c r="M50" s="6"/>
      <c r="N50" s="6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9" t="s">
        <v>356</v>
      </c>
      <c r="B51" s="20" t="s">
        <v>357</v>
      </c>
      <c r="C51" s="20" t="s">
        <v>358</v>
      </c>
      <c r="D51" s="20" t="s">
        <v>359</v>
      </c>
      <c r="E51" s="20" t="s">
        <v>79</v>
      </c>
      <c r="F51" s="21" t="s">
        <v>83</v>
      </c>
      <c r="G51" s="22"/>
      <c r="H51" s="22"/>
      <c r="I51" s="20" t="s">
        <v>162</v>
      </c>
      <c r="J51" s="23">
        <v>6.0</v>
      </c>
      <c r="K51" s="6" t="s">
        <v>81</v>
      </c>
      <c r="L51" s="24" t="s">
        <v>360</v>
      </c>
      <c r="M51" s="6"/>
      <c r="N51" s="6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9" t="s">
        <v>361</v>
      </c>
      <c r="B52" s="20" t="s">
        <v>362</v>
      </c>
      <c r="C52" s="20" t="s">
        <v>363</v>
      </c>
      <c r="D52" s="20" t="s">
        <v>364</v>
      </c>
      <c r="E52" s="20" t="s">
        <v>84</v>
      </c>
      <c r="F52" s="21" t="s">
        <v>85</v>
      </c>
      <c r="G52" s="22"/>
      <c r="H52" s="22"/>
      <c r="I52" s="20" t="s">
        <v>162</v>
      </c>
      <c r="J52" s="23">
        <v>27.0</v>
      </c>
      <c r="K52" s="6" t="s">
        <v>81</v>
      </c>
      <c r="L52" s="24" t="s">
        <v>365</v>
      </c>
      <c r="M52" s="6"/>
      <c r="N52" s="2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9" t="s">
        <v>366</v>
      </c>
      <c r="B53" s="20" t="s">
        <v>367</v>
      </c>
      <c r="C53" s="20" t="s">
        <v>368</v>
      </c>
      <c r="D53" s="20" t="s">
        <v>364</v>
      </c>
      <c r="E53" s="20" t="s">
        <v>84</v>
      </c>
      <c r="F53" s="21" t="s">
        <v>86</v>
      </c>
      <c r="G53" s="22"/>
      <c r="H53" s="22"/>
      <c r="I53" s="20" t="s">
        <v>162</v>
      </c>
      <c r="J53" s="23">
        <v>34.0</v>
      </c>
      <c r="K53" s="6" t="s">
        <v>81</v>
      </c>
      <c r="L53" s="24" t="s">
        <v>369</v>
      </c>
      <c r="M53" s="6"/>
      <c r="N53" s="6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9" t="s">
        <v>370</v>
      </c>
      <c r="B54" s="20" t="s">
        <v>371</v>
      </c>
      <c r="C54" s="20" t="s">
        <v>372</v>
      </c>
      <c r="D54" s="20" t="s">
        <v>373</v>
      </c>
      <c r="E54" s="20" t="s">
        <v>84</v>
      </c>
      <c r="F54" s="21" t="s">
        <v>87</v>
      </c>
      <c r="G54" s="22"/>
      <c r="H54" s="22"/>
      <c r="I54" s="20" t="s">
        <v>179</v>
      </c>
      <c r="J54" s="23">
        <v>9.0</v>
      </c>
      <c r="K54" s="6" t="s">
        <v>81</v>
      </c>
      <c r="L54" s="24" t="s">
        <v>374</v>
      </c>
      <c r="M54" s="6"/>
      <c r="N54" s="6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9" t="s">
        <v>375</v>
      </c>
      <c r="B55" s="20" t="s">
        <v>376</v>
      </c>
      <c r="C55" s="20" t="s">
        <v>377</v>
      </c>
      <c r="D55" s="20" t="s">
        <v>359</v>
      </c>
      <c r="E55" s="20" t="s">
        <v>36</v>
      </c>
      <c r="F55" s="21" t="s">
        <v>88</v>
      </c>
      <c r="G55" s="22"/>
      <c r="H55" s="22"/>
      <c r="I55" s="20" t="s">
        <v>169</v>
      </c>
      <c r="J55" s="23">
        <v>4.0</v>
      </c>
      <c r="K55" s="6" t="s">
        <v>81</v>
      </c>
      <c r="L55" s="6" t="s">
        <v>378</v>
      </c>
      <c r="M55" s="6" t="s">
        <v>104</v>
      </c>
      <c r="N55" s="24" t="s">
        <v>379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9" t="s">
        <v>380</v>
      </c>
      <c r="B56" s="20" t="s">
        <v>381</v>
      </c>
      <c r="C56" s="20" t="s">
        <v>382</v>
      </c>
      <c r="D56" s="20" t="s">
        <v>349</v>
      </c>
      <c r="E56" s="20" t="s">
        <v>84</v>
      </c>
      <c r="F56" s="26" t="s">
        <v>89</v>
      </c>
      <c r="G56" s="20" t="s">
        <v>90</v>
      </c>
      <c r="H56" s="20" t="s">
        <v>91</v>
      </c>
      <c r="I56" s="20" t="s">
        <v>162</v>
      </c>
      <c r="J56" s="23">
        <v>4.0</v>
      </c>
      <c r="K56" s="6" t="s">
        <v>81</v>
      </c>
      <c r="L56" s="24" t="s">
        <v>383</v>
      </c>
      <c r="M56" s="6"/>
      <c r="N56" s="6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9" t="s">
        <v>384</v>
      </c>
      <c r="B57" s="20" t="s">
        <v>385</v>
      </c>
      <c r="C57" s="20" t="s">
        <v>386</v>
      </c>
      <c r="D57" s="20" t="s">
        <v>364</v>
      </c>
      <c r="E57" s="20" t="s">
        <v>84</v>
      </c>
      <c r="F57" s="21" t="s">
        <v>92</v>
      </c>
      <c r="G57" s="22"/>
      <c r="H57" s="22"/>
      <c r="I57" s="20" t="s">
        <v>162</v>
      </c>
      <c r="J57" s="23">
        <v>5.0</v>
      </c>
      <c r="K57" s="6" t="s">
        <v>81</v>
      </c>
      <c r="L57" s="24" t="s">
        <v>387</v>
      </c>
      <c r="M57" s="6"/>
      <c r="N57" s="6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9" t="s">
        <v>388</v>
      </c>
      <c r="B58" s="20" t="s">
        <v>389</v>
      </c>
      <c r="C58" s="20" t="s">
        <v>390</v>
      </c>
      <c r="D58" s="20" t="s">
        <v>364</v>
      </c>
      <c r="E58" s="20" t="s">
        <v>84</v>
      </c>
      <c r="F58" s="21" t="s">
        <v>93</v>
      </c>
      <c r="G58" s="22"/>
      <c r="H58" s="22"/>
      <c r="I58" s="20" t="s">
        <v>179</v>
      </c>
      <c r="J58" s="23">
        <v>4.0</v>
      </c>
      <c r="K58" s="6" t="s">
        <v>81</v>
      </c>
      <c r="L58" s="24" t="s">
        <v>391</v>
      </c>
      <c r="M58" s="6"/>
      <c r="N58" s="6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9" t="s">
        <v>392</v>
      </c>
      <c r="B59" s="20" t="s">
        <v>393</v>
      </c>
      <c r="C59" s="20" t="s">
        <v>394</v>
      </c>
      <c r="D59" s="20" t="s">
        <v>364</v>
      </c>
      <c r="E59" s="20" t="s">
        <v>84</v>
      </c>
      <c r="F59" s="21" t="s">
        <v>94</v>
      </c>
      <c r="G59" s="22"/>
      <c r="H59" s="22"/>
      <c r="I59" s="20" t="s">
        <v>179</v>
      </c>
      <c r="J59" s="23">
        <v>42.0</v>
      </c>
      <c r="K59" s="6" t="s">
        <v>81</v>
      </c>
      <c r="L59" s="24" t="s">
        <v>395</v>
      </c>
      <c r="M59" s="6"/>
      <c r="N59" s="6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9" t="s">
        <v>396</v>
      </c>
      <c r="B60" s="20" t="s">
        <v>397</v>
      </c>
      <c r="C60" s="20" t="s">
        <v>398</v>
      </c>
      <c r="D60" s="20" t="s">
        <v>364</v>
      </c>
      <c r="E60" s="20" t="s">
        <v>84</v>
      </c>
      <c r="F60" s="26" t="s">
        <v>96</v>
      </c>
      <c r="G60" s="20" t="s">
        <v>97</v>
      </c>
      <c r="H60" s="20" t="s">
        <v>98</v>
      </c>
      <c r="I60" s="20" t="s">
        <v>179</v>
      </c>
      <c r="J60" s="23">
        <v>32.0</v>
      </c>
      <c r="K60" s="6" t="s">
        <v>81</v>
      </c>
      <c r="L60" s="24" t="s">
        <v>399</v>
      </c>
      <c r="M60" s="6"/>
      <c r="N60" s="6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9" t="s">
        <v>400</v>
      </c>
      <c r="B61" s="20" t="s">
        <v>401</v>
      </c>
      <c r="C61" s="20" t="s">
        <v>402</v>
      </c>
      <c r="D61" s="20" t="s">
        <v>364</v>
      </c>
      <c r="E61" s="20" t="s">
        <v>84</v>
      </c>
      <c r="F61" s="21" t="s">
        <v>95</v>
      </c>
      <c r="G61" s="22"/>
      <c r="H61" s="22"/>
      <c r="I61" s="20" t="s">
        <v>179</v>
      </c>
      <c r="J61" s="23">
        <v>14.0</v>
      </c>
      <c r="K61" s="6" t="s">
        <v>81</v>
      </c>
      <c r="L61" s="6" t="s">
        <v>403</v>
      </c>
      <c r="M61" s="6"/>
      <c r="N61" s="6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9" t="s">
        <v>404</v>
      </c>
      <c r="B62" s="20" t="s">
        <v>405</v>
      </c>
      <c r="C62" s="20" t="s">
        <v>406</v>
      </c>
      <c r="D62" s="20" t="s">
        <v>364</v>
      </c>
      <c r="E62" s="20" t="s">
        <v>84</v>
      </c>
      <c r="F62" s="26" t="s">
        <v>99</v>
      </c>
      <c r="G62" s="20" t="s">
        <v>97</v>
      </c>
      <c r="H62" s="20" t="s">
        <v>100</v>
      </c>
      <c r="I62" s="20" t="s">
        <v>162</v>
      </c>
      <c r="J62" s="23">
        <v>8.0</v>
      </c>
      <c r="K62" s="6" t="s">
        <v>81</v>
      </c>
      <c r="L62" s="24" t="s">
        <v>407</v>
      </c>
      <c r="M62" s="6"/>
      <c r="N62" s="6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9" t="s">
        <v>408</v>
      </c>
      <c r="B63" s="20" t="s">
        <v>409</v>
      </c>
      <c r="C63" s="20" t="s">
        <v>410</v>
      </c>
      <c r="D63" s="20" t="s">
        <v>411</v>
      </c>
      <c r="E63" s="20" t="s">
        <v>84</v>
      </c>
      <c r="F63" s="26" t="s">
        <v>101</v>
      </c>
      <c r="G63" s="20" t="s">
        <v>97</v>
      </c>
      <c r="H63" s="20" t="s">
        <v>102</v>
      </c>
      <c r="I63" s="20" t="s">
        <v>162</v>
      </c>
      <c r="J63" s="23">
        <v>2.0</v>
      </c>
      <c r="K63" s="6" t="s">
        <v>81</v>
      </c>
      <c r="L63" s="24" t="s">
        <v>412</v>
      </c>
      <c r="M63" s="6"/>
      <c r="N63" s="6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9" t="s">
        <v>413</v>
      </c>
      <c r="B64" s="20" t="s">
        <v>414</v>
      </c>
      <c r="C64" s="20" t="s">
        <v>415</v>
      </c>
      <c r="D64" s="20" t="s">
        <v>416</v>
      </c>
      <c r="E64" s="20" t="s">
        <v>55</v>
      </c>
      <c r="F64" s="21" t="s">
        <v>103</v>
      </c>
      <c r="G64" s="22"/>
      <c r="H64" s="22"/>
      <c r="I64" s="20" t="s">
        <v>197</v>
      </c>
      <c r="J64" s="23">
        <v>1.0</v>
      </c>
      <c r="K64" s="6"/>
      <c r="L64" s="6"/>
      <c r="M64" s="6"/>
      <c r="N64" s="6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9" t="s">
        <v>417</v>
      </c>
      <c r="B65" s="20" t="s">
        <v>418</v>
      </c>
      <c r="C65" s="20" t="s">
        <v>419</v>
      </c>
      <c r="D65" s="20" t="s">
        <v>364</v>
      </c>
      <c r="E65" s="20" t="s">
        <v>84</v>
      </c>
      <c r="F65" s="21" t="s">
        <v>420</v>
      </c>
      <c r="G65" s="22"/>
      <c r="H65" s="22"/>
      <c r="I65" s="20" t="s">
        <v>197</v>
      </c>
      <c r="J65" s="23">
        <v>1.0</v>
      </c>
      <c r="K65" s="6" t="s">
        <v>81</v>
      </c>
      <c r="L65" s="24" t="s">
        <v>421</v>
      </c>
      <c r="M65" s="6"/>
      <c r="N65" s="6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9" t="s">
        <v>422</v>
      </c>
      <c r="B66" s="20" t="s">
        <v>423</v>
      </c>
      <c r="C66" s="20" t="s">
        <v>424</v>
      </c>
      <c r="D66" s="20" t="s">
        <v>425</v>
      </c>
      <c r="E66" s="20" t="s">
        <v>104</v>
      </c>
      <c r="F66" s="21" t="s">
        <v>105</v>
      </c>
      <c r="G66" s="22"/>
      <c r="H66" s="22"/>
      <c r="I66" s="20" t="s">
        <v>162</v>
      </c>
      <c r="J66" s="23">
        <v>2.0</v>
      </c>
      <c r="K66" s="6" t="s">
        <v>81</v>
      </c>
      <c r="L66" s="24" t="s">
        <v>426</v>
      </c>
      <c r="M66" s="6"/>
      <c r="N66" s="6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9" t="s">
        <v>427</v>
      </c>
      <c r="B67" s="20" t="s">
        <v>428</v>
      </c>
      <c r="C67" s="20" t="s">
        <v>429</v>
      </c>
      <c r="D67" s="20" t="s">
        <v>364</v>
      </c>
      <c r="E67" s="20" t="s">
        <v>84</v>
      </c>
      <c r="F67" s="21" t="s">
        <v>106</v>
      </c>
      <c r="G67" s="22"/>
      <c r="H67" s="22"/>
      <c r="I67" s="20" t="s">
        <v>169</v>
      </c>
      <c r="J67" s="23">
        <v>4.0</v>
      </c>
      <c r="K67" s="6" t="s">
        <v>81</v>
      </c>
      <c r="L67" s="24" t="s">
        <v>430</v>
      </c>
      <c r="M67" s="6"/>
      <c r="N67" s="6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9" t="s">
        <v>431</v>
      </c>
      <c r="B68" s="20" t="s">
        <v>432</v>
      </c>
      <c r="C68" s="20" t="s">
        <v>433</v>
      </c>
      <c r="D68" s="20" t="s">
        <v>411</v>
      </c>
      <c r="E68" s="20" t="s">
        <v>81</v>
      </c>
      <c r="F68" s="26" t="s">
        <v>107</v>
      </c>
      <c r="G68" s="22"/>
      <c r="H68" s="22"/>
      <c r="I68" s="20" t="s">
        <v>179</v>
      </c>
      <c r="J68" s="23">
        <v>7.0</v>
      </c>
      <c r="K68" s="6" t="s">
        <v>79</v>
      </c>
      <c r="L68" s="24" t="s">
        <v>434</v>
      </c>
      <c r="M68" s="6"/>
      <c r="N68" s="6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9" t="s">
        <v>435</v>
      </c>
      <c r="B69" s="20" t="s">
        <v>436</v>
      </c>
      <c r="C69" s="20" t="s">
        <v>437</v>
      </c>
      <c r="D69" s="20" t="s">
        <v>438</v>
      </c>
      <c r="E69" s="20" t="s">
        <v>108</v>
      </c>
      <c r="F69" s="26" t="s">
        <v>109</v>
      </c>
      <c r="G69" s="22"/>
      <c r="H69" s="22"/>
      <c r="I69" s="20" t="s">
        <v>197</v>
      </c>
      <c r="J69" s="23">
        <v>1.0</v>
      </c>
      <c r="K69" s="6"/>
      <c r="L69" s="6"/>
      <c r="M69" s="6"/>
      <c r="N69" s="6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9" t="s">
        <v>439</v>
      </c>
      <c r="B70" s="20" t="s">
        <v>440</v>
      </c>
      <c r="C70" s="20" t="s">
        <v>441</v>
      </c>
      <c r="D70" s="20" t="s">
        <v>359</v>
      </c>
      <c r="E70" s="20" t="s">
        <v>81</v>
      </c>
      <c r="F70" s="26" t="s">
        <v>110</v>
      </c>
      <c r="G70" s="22"/>
      <c r="H70" s="22"/>
      <c r="I70" s="20" t="s">
        <v>197</v>
      </c>
      <c r="J70" s="23">
        <v>1.0</v>
      </c>
      <c r="K70" s="6" t="s">
        <v>79</v>
      </c>
      <c r="L70" s="24" t="s">
        <v>442</v>
      </c>
      <c r="M70" s="6"/>
      <c r="N70" s="6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9" t="s">
        <v>443</v>
      </c>
      <c r="B71" s="20" t="s">
        <v>444</v>
      </c>
      <c r="C71" s="20" t="s">
        <v>445</v>
      </c>
      <c r="D71" s="20" t="s">
        <v>373</v>
      </c>
      <c r="E71" s="20" t="s">
        <v>84</v>
      </c>
      <c r="F71" s="21" t="s">
        <v>111</v>
      </c>
      <c r="G71" s="22"/>
      <c r="H71" s="22"/>
      <c r="I71" s="20" t="s">
        <v>169</v>
      </c>
      <c r="J71" s="23">
        <v>2.0</v>
      </c>
      <c r="K71" s="6"/>
      <c r="L71" s="6"/>
      <c r="M71" s="6"/>
      <c r="N71" s="6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9" t="s">
        <v>446</v>
      </c>
      <c r="B72" s="20" t="s">
        <v>447</v>
      </c>
      <c r="C72" s="20" t="s">
        <v>448</v>
      </c>
      <c r="D72" s="20" t="s">
        <v>364</v>
      </c>
      <c r="E72" s="20" t="s">
        <v>84</v>
      </c>
      <c r="F72" s="26" t="s">
        <v>112</v>
      </c>
      <c r="G72" s="20" t="s">
        <v>97</v>
      </c>
      <c r="H72" s="20" t="s">
        <v>113</v>
      </c>
      <c r="I72" s="20" t="s">
        <v>169</v>
      </c>
      <c r="J72" s="23">
        <v>3.0</v>
      </c>
      <c r="K72" s="6" t="s">
        <v>81</v>
      </c>
      <c r="L72" s="24" t="s">
        <v>449</v>
      </c>
      <c r="M72" s="6"/>
      <c r="N72" s="6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9" t="s">
        <v>450</v>
      </c>
      <c r="B73" s="20" t="s">
        <v>451</v>
      </c>
      <c r="C73" s="20" t="s">
        <v>452</v>
      </c>
      <c r="D73" s="20" t="s">
        <v>349</v>
      </c>
      <c r="E73" s="20" t="s">
        <v>84</v>
      </c>
      <c r="F73" s="21" t="s">
        <v>453</v>
      </c>
      <c r="G73" s="22"/>
      <c r="H73" s="22"/>
      <c r="I73" s="20" t="s">
        <v>197</v>
      </c>
      <c r="J73" s="23">
        <v>1.0</v>
      </c>
      <c r="K73" s="6" t="s">
        <v>81</v>
      </c>
      <c r="L73" s="24" t="s">
        <v>454</v>
      </c>
      <c r="M73" s="6"/>
      <c r="N73" s="6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9" t="s">
        <v>455</v>
      </c>
      <c r="B74" s="20" t="s">
        <v>456</v>
      </c>
      <c r="C74" s="20" t="s">
        <v>457</v>
      </c>
      <c r="D74" s="20" t="s">
        <v>364</v>
      </c>
      <c r="E74" s="20" t="s">
        <v>84</v>
      </c>
      <c r="F74" s="21" t="s">
        <v>458</v>
      </c>
      <c r="G74" s="22"/>
      <c r="H74" s="22"/>
      <c r="I74" s="20" t="s">
        <v>169</v>
      </c>
      <c r="J74" s="23">
        <v>1.0</v>
      </c>
      <c r="K74" s="6" t="s">
        <v>81</v>
      </c>
      <c r="L74" s="24" t="s">
        <v>459</v>
      </c>
      <c r="M74" s="6"/>
      <c r="N74" s="6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9" t="s">
        <v>460</v>
      </c>
      <c r="B75" s="20" t="s">
        <v>461</v>
      </c>
      <c r="C75" s="20" t="s">
        <v>462</v>
      </c>
      <c r="D75" s="20" t="s">
        <v>359</v>
      </c>
      <c r="E75" s="20" t="s">
        <v>84</v>
      </c>
      <c r="F75" s="21" t="s">
        <v>114</v>
      </c>
      <c r="G75" s="22"/>
      <c r="H75" s="22"/>
      <c r="I75" s="20" t="s">
        <v>179</v>
      </c>
      <c r="J75" s="23">
        <v>2.0</v>
      </c>
      <c r="K75" s="6" t="s">
        <v>81</v>
      </c>
      <c r="L75" s="24" t="s">
        <v>463</v>
      </c>
      <c r="M75" s="6"/>
      <c r="N75" s="6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9" t="s">
        <v>464</v>
      </c>
      <c r="B76" s="20" t="s">
        <v>465</v>
      </c>
      <c r="C76" s="20" t="s">
        <v>466</v>
      </c>
      <c r="D76" s="20" t="s">
        <v>364</v>
      </c>
      <c r="E76" s="20" t="s">
        <v>84</v>
      </c>
      <c r="F76" s="21" t="s">
        <v>115</v>
      </c>
      <c r="G76" s="22"/>
      <c r="H76" s="22"/>
      <c r="I76" s="20" t="s">
        <v>169</v>
      </c>
      <c r="J76" s="23">
        <v>1.0</v>
      </c>
      <c r="K76" s="6" t="s">
        <v>81</v>
      </c>
      <c r="L76" s="24" t="s">
        <v>467</v>
      </c>
      <c r="M76" s="6"/>
      <c r="N76" s="6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9" t="s">
        <v>468</v>
      </c>
      <c r="B77" s="20" t="s">
        <v>469</v>
      </c>
      <c r="C77" s="20" t="s">
        <v>470</v>
      </c>
      <c r="D77" s="20" t="s">
        <v>364</v>
      </c>
      <c r="E77" s="20" t="s">
        <v>84</v>
      </c>
      <c r="F77" s="21" t="s">
        <v>116</v>
      </c>
      <c r="G77" s="22"/>
      <c r="H77" s="22"/>
      <c r="I77" s="20" t="s">
        <v>162</v>
      </c>
      <c r="J77" s="23">
        <v>3.0</v>
      </c>
      <c r="K77" s="6" t="s">
        <v>81</v>
      </c>
      <c r="L77" s="24" t="s">
        <v>471</v>
      </c>
      <c r="M77" s="6"/>
      <c r="N77" s="6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9" t="s">
        <v>472</v>
      </c>
      <c r="B78" s="20" t="s">
        <v>473</v>
      </c>
      <c r="C78" s="20" t="s">
        <v>474</v>
      </c>
      <c r="D78" s="20" t="s">
        <v>411</v>
      </c>
      <c r="E78" s="20" t="s">
        <v>26</v>
      </c>
      <c r="F78" s="21" t="s">
        <v>117</v>
      </c>
      <c r="G78" s="22"/>
      <c r="H78" s="22"/>
      <c r="I78" s="20" t="s">
        <v>197</v>
      </c>
      <c r="J78" s="23">
        <v>1.0</v>
      </c>
      <c r="K78" s="6" t="s">
        <v>81</v>
      </c>
      <c r="L78" s="6" t="s">
        <v>475</v>
      </c>
      <c r="M78" s="6" t="s">
        <v>104</v>
      </c>
      <c r="N78" s="24" t="s">
        <v>476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9" t="s">
        <v>477</v>
      </c>
      <c r="B79" s="20" t="s">
        <v>478</v>
      </c>
      <c r="C79" s="20" t="s">
        <v>479</v>
      </c>
      <c r="D79" s="20" t="s">
        <v>364</v>
      </c>
      <c r="E79" s="20" t="s">
        <v>84</v>
      </c>
      <c r="F79" s="21" t="s">
        <v>118</v>
      </c>
      <c r="G79" s="22"/>
      <c r="H79" s="22"/>
      <c r="I79" s="20" t="s">
        <v>179</v>
      </c>
      <c r="J79" s="23">
        <v>3.0</v>
      </c>
      <c r="K79" s="6"/>
      <c r="L79" s="6"/>
      <c r="M79" s="6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9" t="s">
        <v>480</v>
      </c>
      <c r="B80" s="20" t="s">
        <v>481</v>
      </c>
      <c r="C80" s="20" t="s">
        <v>482</v>
      </c>
      <c r="D80" s="20" t="s">
        <v>483</v>
      </c>
      <c r="E80" s="20" t="s">
        <v>119</v>
      </c>
      <c r="F80" s="26" t="s">
        <v>120</v>
      </c>
      <c r="G80" s="22"/>
      <c r="H80" s="22"/>
      <c r="I80" s="20" t="s">
        <v>162</v>
      </c>
      <c r="J80" s="23">
        <v>5.0</v>
      </c>
      <c r="K80" s="6" t="s">
        <v>104</v>
      </c>
      <c r="L80" s="24" t="s">
        <v>484</v>
      </c>
      <c r="M80" s="6"/>
      <c r="N80" s="6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9" t="s">
        <v>485</v>
      </c>
      <c r="B81" s="20" t="s">
        <v>486</v>
      </c>
      <c r="C81" s="20" t="s">
        <v>487</v>
      </c>
      <c r="D81" s="20" t="s">
        <v>364</v>
      </c>
      <c r="E81" s="20" t="s">
        <v>9</v>
      </c>
      <c r="F81" s="21" t="s">
        <v>121</v>
      </c>
      <c r="G81" s="22"/>
      <c r="H81" s="22"/>
      <c r="I81" s="20" t="s">
        <v>179</v>
      </c>
      <c r="J81" s="23">
        <v>3.0</v>
      </c>
      <c r="K81" s="6"/>
      <c r="L81" s="6"/>
      <c r="M81" s="6"/>
      <c r="N81" s="6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9" t="s">
        <v>488</v>
      </c>
      <c r="B82" s="20" t="s">
        <v>489</v>
      </c>
      <c r="C82" s="25" t="s">
        <v>490</v>
      </c>
      <c r="D82" s="22"/>
      <c r="E82" s="20" t="s">
        <v>31</v>
      </c>
      <c r="F82" s="27">
        <v>5.051511E9</v>
      </c>
      <c r="G82" s="22"/>
      <c r="H82" s="22"/>
      <c r="I82" s="20" t="s">
        <v>243</v>
      </c>
      <c r="J82" s="23">
        <v>1.0</v>
      </c>
      <c r="K82" s="6"/>
      <c r="L82" s="6"/>
      <c r="M82" s="6"/>
      <c r="N82" s="6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9" t="s">
        <v>491</v>
      </c>
      <c r="B83" s="20" t="s">
        <v>492</v>
      </c>
      <c r="C83" s="25" t="s">
        <v>493</v>
      </c>
      <c r="D83" s="22"/>
      <c r="E83" s="20" t="s">
        <v>31</v>
      </c>
      <c r="F83" s="27">
        <v>5.0314922E9</v>
      </c>
      <c r="G83" s="22"/>
      <c r="H83" s="22"/>
      <c r="I83" s="20" t="s">
        <v>243</v>
      </c>
      <c r="J83" s="23">
        <v>1.0</v>
      </c>
      <c r="K83" s="6"/>
      <c r="L83" s="6"/>
      <c r="M83" s="6"/>
      <c r="N83" s="6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9" t="s">
        <v>494</v>
      </c>
      <c r="B84" s="20" t="s">
        <v>495</v>
      </c>
      <c r="C84" s="25" t="s">
        <v>496</v>
      </c>
      <c r="D84" s="22"/>
      <c r="E84" s="20" t="s">
        <v>31</v>
      </c>
      <c r="F84" s="27">
        <v>5.0515112E9</v>
      </c>
      <c r="G84" s="22"/>
      <c r="H84" s="22"/>
      <c r="I84" s="20" t="s">
        <v>243</v>
      </c>
      <c r="J84" s="23">
        <v>1.0</v>
      </c>
      <c r="K84" s="6"/>
      <c r="L84" s="6"/>
      <c r="M84" s="6"/>
      <c r="N84" s="6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9" t="s">
        <v>497</v>
      </c>
      <c r="B85" s="20" t="s">
        <v>498</v>
      </c>
      <c r="C85" s="20" t="s">
        <v>499</v>
      </c>
      <c r="D85" s="20" t="s">
        <v>500</v>
      </c>
      <c r="E85" s="20" t="s">
        <v>69</v>
      </c>
      <c r="F85" s="26" t="s">
        <v>125</v>
      </c>
      <c r="G85" s="22"/>
      <c r="H85" s="22"/>
      <c r="I85" s="20" t="s">
        <v>197</v>
      </c>
      <c r="J85" s="23">
        <v>2.0</v>
      </c>
      <c r="K85" s="6"/>
      <c r="L85" s="6"/>
      <c r="M85" s="6"/>
      <c r="N85" s="6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9" t="s">
        <v>501</v>
      </c>
      <c r="B86" s="20" t="s">
        <v>502</v>
      </c>
      <c r="C86" s="20" t="s">
        <v>503</v>
      </c>
      <c r="D86" s="20" t="s">
        <v>504</v>
      </c>
      <c r="E86" s="20" t="s">
        <v>126</v>
      </c>
      <c r="F86" s="21" t="s">
        <v>127</v>
      </c>
      <c r="G86" s="22"/>
      <c r="H86" s="22"/>
      <c r="I86" s="20" t="s">
        <v>169</v>
      </c>
      <c r="J86" s="23">
        <v>1.0</v>
      </c>
      <c r="K86" s="6"/>
      <c r="L86" s="6"/>
      <c r="M86" s="6"/>
      <c r="N86" s="6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9" t="s">
        <v>505</v>
      </c>
      <c r="B87" s="20" t="s">
        <v>506</v>
      </c>
      <c r="C87" s="20" t="s">
        <v>507</v>
      </c>
      <c r="D87" s="20" t="s">
        <v>508</v>
      </c>
      <c r="E87" s="20" t="s">
        <v>126</v>
      </c>
      <c r="F87" s="21" t="s">
        <v>128</v>
      </c>
      <c r="G87" s="22"/>
      <c r="H87" s="22"/>
      <c r="I87" s="20" t="s">
        <v>169</v>
      </c>
      <c r="J87" s="23">
        <v>1.0</v>
      </c>
      <c r="K87" s="6"/>
      <c r="L87" s="6"/>
      <c r="M87" s="6"/>
      <c r="N87" s="6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9" t="s">
        <v>509</v>
      </c>
      <c r="B88" s="20" t="s">
        <v>510</v>
      </c>
      <c r="C88" s="20" t="s">
        <v>511</v>
      </c>
      <c r="D88" s="20" t="s">
        <v>512</v>
      </c>
      <c r="E88" s="20" t="s">
        <v>126</v>
      </c>
      <c r="F88" s="21" t="s">
        <v>129</v>
      </c>
      <c r="G88" s="22"/>
      <c r="H88" s="22"/>
      <c r="I88" s="20" t="s">
        <v>197</v>
      </c>
      <c r="J88" s="23">
        <v>1.0</v>
      </c>
      <c r="K88" s="6"/>
      <c r="L88" s="6"/>
      <c r="M88" s="6"/>
      <c r="N88" s="6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9" t="s">
        <v>513</v>
      </c>
      <c r="B89" s="20" t="s">
        <v>514</v>
      </c>
      <c r="C89" s="20" t="s">
        <v>515</v>
      </c>
      <c r="D89" s="20" t="s">
        <v>512</v>
      </c>
      <c r="E89" s="20" t="s">
        <v>126</v>
      </c>
      <c r="F89" s="26" t="s">
        <v>130</v>
      </c>
      <c r="G89" s="22"/>
      <c r="H89" s="22"/>
      <c r="I89" s="20" t="s">
        <v>197</v>
      </c>
      <c r="J89" s="23">
        <v>1.0</v>
      </c>
      <c r="K89" s="6"/>
      <c r="L89" s="6"/>
      <c r="M89" s="6"/>
      <c r="N89" s="6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9" t="s">
        <v>516</v>
      </c>
      <c r="B90" s="25" t="s">
        <v>517</v>
      </c>
      <c r="C90" s="22"/>
      <c r="D90" s="20" t="s">
        <v>518</v>
      </c>
      <c r="E90" s="20" t="s">
        <v>131</v>
      </c>
      <c r="F90" s="21" t="s">
        <v>132</v>
      </c>
      <c r="G90" s="22"/>
      <c r="H90" s="22"/>
      <c r="I90" s="20" t="s">
        <v>179</v>
      </c>
      <c r="J90" s="23">
        <v>6.0</v>
      </c>
      <c r="K90" s="6"/>
      <c r="L90" s="6"/>
      <c r="M90" s="6"/>
      <c r="N90" s="6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9" t="s">
        <v>519</v>
      </c>
      <c r="B91" s="20" t="s">
        <v>520</v>
      </c>
      <c r="C91" s="20" t="s">
        <v>521</v>
      </c>
      <c r="D91" s="20" t="s">
        <v>522</v>
      </c>
      <c r="E91" s="20" t="s">
        <v>126</v>
      </c>
      <c r="F91" s="21" t="s">
        <v>133</v>
      </c>
      <c r="G91" s="22"/>
      <c r="H91" s="22"/>
      <c r="I91" s="20" t="s">
        <v>162</v>
      </c>
      <c r="J91" s="23">
        <v>4.0</v>
      </c>
      <c r="K91" s="6"/>
      <c r="L91" s="6"/>
      <c r="M91" s="6"/>
      <c r="N91" s="6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9" t="s">
        <v>523</v>
      </c>
      <c r="B92" s="20" t="s">
        <v>524</v>
      </c>
      <c r="C92" s="20" t="s">
        <v>525</v>
      </c>
      <c r="D92" s="20" t="s">
        <v>526</v>
      </c>
      <c r="E92" s="20" t="s">
        <v>134</v>
      </c>
      <c r="F92" s="26" t="s">
        <v>135</v>
      </c>
      <c r="G92" s="22"/>
      <c r="H92" s="22"/>
      <c r="I92" s="20" t="s">
        <v>169</v>
      </c>
      <c r="J92" s="23">
        <v>1.0</v>
      </c>
      <c r="K92" s="6" t="s">
        <v>134</v>
      </c>
      <c r="L92" s="6" t="s">
        <v>527</v>
      </c>
      <c r="M92" s="6"/>
      <c r="N92" s="6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9" t="s">
        <v>528</v>
      </c>
      <c r="B93" s="20" t="s">
        <v>529</v>
      </c>
      <c r="C93" s="20" t="s">
        <v>530</v>
      </c>
      <c r="D93" s="20" t="s">
        <v>518</v>
      </c>
      <c r="E93" s="20" t="s">
        <v>126</v>
      </c>
      <c r="F93" s="21" t="s">
        <v>136</v>
      </c>
      <c r="G93" s="22"/>
      <c r="H93" s="22"/>
      <c r="I93" s="20" t="s">
        <v>169</v>
      </c>
      <c r="J93" s="23">
        <v>1.0</v>
      </c>
      <c r="K93" s="6"/>
      <c r="L93" s="6"/>
      <c r="M93" s="6"/>
      <c r="N93" s="6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9" t="s">
        <v>531</v>
      </c>
      <c r="B94" s="20" t="s">
        <v>532</v>
      </c>
      <c r="C94" s="20" t="s">
        <v>533</v>
      </c>
      <c r="D94" s="20" t="s">
        <v>534</v>
      </c>
      <c r="E94" s="20" t="s">
        <v>137</v>
      </c>
      <c r="F94" s="21" t="s">
        <v>138</v>
      </c>
      <c r="G94" s="22"/>
      <c r="H94" s="22"/>
      <c r="I94" s="20" t="s">
        <v>169</v>
      </c>
      <c r="J94" s="23">
        <v>1.0</v>
      </c>
      <c r="K94" s="6"/>
      <c r="L94" s="6"/>
      <c r="M94" s="6"/>
      <c r="N94" s="6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9" t="s">
        <v>535</v>
      </c>
      <c r="B95" s="20" t="s">
        <v>536</v>
      </c>
      <c r="C95" s="20" t="s">
        <v>537</v>
      </c>
      <c r="D95" s="20" t="s">
        <v>538</v>
      </c>
      <c r="E95" s="20" t="s">
        <v>539</v>
      </c>
      <c r="F95" s="21" t="s">
        <v>139</v>
      </c>
      <c r="G95" s="22"/>
      <c r="H95" s="22"/>
      <c r="I95" s="20" t="s">
        <v>169</v>
      </c>
      <c r="J95" s="23">
        <v>1.0</v>
      </c>
      <c r="K95" s="6"/>
      <c r="L95" s="6"/>
      <c r="M95" s="6"/>
      <c r="N95" s="6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9" t="s">
        <v>540</v>
      </c>
      <c r="B96" s="20" t="s">
        <v>541</v>
      </c>
      <c r="C96" s="20" t="s">
        <v>542</v>
      </c>
      <c r="D96" s="20" t="s">
        <v>543</v>
      </c>
      <c r="E96" s="20" t="s">
        <v>126</v>
      </c>
      <c r="F96" s="21" t="s">
        <v>140</v>
      </c>
      <c r="G96" s="22"/>
      <c r="H96" s="22"/>
      <c r="I96" s="20" t="s">
        <v>169</v>
      </c>
      <c r="J96" s="23">
        <v>1.0</v>
      </c>
      <c r="K96" s="6"/>
      <c r="L96" s="6"/>
      <c r="M96" s="6"/>
      <c r="N96" s="6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9" t="s">
        <v>544</v>
      </c>
      <c r="B97" s="20" t="s">
        <v>545</v>
      </c>
      <c r="C97" s="20" t="s">
        <v>546</v>
      </c>
      <c r="D97" s="25" t="s">
        <v>547</v>
      </c>
      <c r="E97" s="22"/>
      <c r="F97" s="21" t="s">
        <v>141</v>
      </c>
      <c r="G97" s="22"/>
      <c r="H97" s="22"/>
      <c r="I97" s="20" t="s">
        <v>197</v>
      </c>
      <c r="J97" s="23">
        <v>1.0</v>
      </c>
      <c r="K97" s="6"/>
      <c r="L97" s="6"/>
      <c r="M97" s="6"/>
      <c r="N97" s="6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9" t="s">
        <v>548</v>
      </c>
      <c r="B98" s="20" t="s">
        <v>549</v>
      </c>
      <c r="C98" s="20" t="s">
        <v>550</v>
      </c>
      <c r="D98" s="20" t="s">
        <v>551</v>
      </c>
      <c r="E98" s="20" t="s">
        <v>69</v>
      </c>
      <c r="F98" s="21" t="s">
        <v>142</v>
      </c>
      <c r="G98" s="22"/>
      <c r="H98" s="22"/>
      <c r="I98" s="20" t="s">
        <v>169</v>
      </c>
      <c r="J98" s="23">
        <v>1.0</v>
      </c>
      <c r="K98" s="6"/>
      <c r="L98" s="6"/>
      <c r="M98" s="6"/>
      <c r="N98" s="6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9" t="s">
        <v>552</v>
      </c>
      <c r="B99" s="20" t="s">
        <v>553</v>
      </c>
      <c r="C99" s="20" t="s">
        <v>554</v>
      </c>
      <c r="D99" s="20" t="s">
        <v>555</v>
      </c>
      <c r="E99" s="20" t="s">
        <v>145</v>
      </c>
      <c r="F99" s="21" t="s">
        <v>556</v>
      </c>
      <c r="G99" s="22"/>
      <c r="H99" s="22"/>
      <c r="I99" s="20" t="s">
        <v>169</v>
      </c>
      <c r="J99" s="23">
        <v>1.0</v>
      </c>
      <c r="K99" s="6"/>
      <c r="L99" s="6"/>
      <c r="M99" s="6"/>
      <c r="N99" s="6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